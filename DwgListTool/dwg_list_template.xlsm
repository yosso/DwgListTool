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tables/table1.xml" ContentType="application/vnd.openxmlformats-officedocument.spreadsheetml.table+xml"/>
  <Override PartName="/xl/drawings/drawing4.xml" ContentType="application/vnd.openxmlformats-officedocument.drawing+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64b7e204c2ca4d15"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766" codeName="{F2B83AC3-3A92-4FF1-8D57-CA5CB3A19BB1}"/>
  <workbookPr codeName="ThisWorkbook" defaultThemeVersion="124226"/>
  <mc:AlternateContent xmlns:mc="http://schemas.openxmlformats.org/markup-compatibility/2006">
    <mc:Choice Requires="x15">
      <x15ac:absPath xmlns:x15ac="http://schemas.microsoft.com/office/spreadsheetml/2010/11/ac" url="D:\Dropbox\AMCE Work Folders\Substation Spreadsheets\Substation and Relay Transmittal\"/>
    </mc:Choice>
  </mc:AlternateContent>
  <bookViews>
    <workbookView xWindow="9585" yWindow="-15" windowWidth="9600" windowHeight="12525"/>
  </bookViews>
  <sheets>
    <sheet name="Master Drawing List" sheetId="17" r:id="rId1"/>
    <sheet name="EDE_test_data" sheetId="421" r:id="rId2"/>
    <sheet name="Unified-Transmittal-Template" sheetId="363" state="veryHidden" r:id="rId3"/>
    <sheet name="Unified-Transmittal-Master" sheetId="78" state="veryHidden" r:id="rId4"/>
    <sheet name="Contract List" sheetId="20" state="veryHidden" r:id="rId5"/>
    <sheet name="zz-sub-dept-old-trans" sheetId="14" state="veryHidden" r:id="rId6"/>
    <sheet name="zz-relay-dept-old-trans" sheetId="73" state="veryHidden" r:id="rId7"/>
    <sheet name="data" sheetId="15" r:id="rId8"/>
    <sheet name="_testing" sheetId="23" state="veryHidden" r:id="rId9"/>
    <sheet name="Location List" sheetId="52" state="veryHidden" r:id="rId10"/>
    <sheet name="VSTS_ValidationWS_1" sheetId="74" state="veryHidden" r:id="rId11"/>
    <sheet name="Reference" sheetId="75" state="veryHidden" r:id="rId12"/>
    <sheet name="TempSheet" sheetId="420" state="hidden" r:id="rId13"/>
  </sheets>
  <functionGroups builtInGroupCount="18"/>
  <definedNames>
    <definedName name="clientlist">data!$L$2:$M$5</definedName>
    <definedName name="comments">'Master Drawing List'!#REF!</definedName>
    <definedName name="contact_email">data!$J$2</definedName>
    <definedName name="contact_name">data!$J$1</definedName>
    <definedName name="Contracts">OFFSET(data!$A$1:$A$5,0,0,COUNTA(data!$A$1:$A$30),1)</definedName>
    <definedName name="dwg_list">'Master Drawing List'!$AC$16:$AE$68</definedName>
    <definedName name="dwgdelimiter">data!$J$7</definedName>
    <definedName name="dwglist" localSheetId="4">'Contract List'!$B$2:$C$79</definedName>
    <definedName name="dwgnoprefix">data!$J$6</definedName>
    <definedName name="indexlist">OFFSET(data!$N$3,0,0,COUNTA(data!$N$3:$N$100),1)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MasterDwgNumber">OFFSET('Master Drawing List'!$AC$16,0,0,COUNTA('Master Drawing List'!$AC$16:$AC$1077),3)</definedName>
    <definedName name="_xlnm.Print_Area" localSheetId="4">'Contract List'!$B$1:$C$74</definedName>
    <definedName name="_xlnm.Print_Area" localSheetId="3">'Unified-Transmittal-Master'!$A$1:$U$66</definedName>
    <definedName name="_xlnm.Print_Area" localSheetId="2">'Unified-Transmittal-Template'!$A$1:$U$66</definedName>
    <definedName name="_xlnm.Print_Area" localSheetId="5">'zz-sub-dept-old-trans'!$A$1:$R$138</definedName>
    <definedName name="_xlnm.Print_Titles" localSheetId="3">'Unified-Transmittal-Master'!$22:$23</definedName>
    <definedName name="_xlnm.Print_Titles" localSheetId="2">'Unified-Transmittal-Template'!$22:$23</definedName>
    <definedName name="_xlnm.Print_Titles" localSheetId="6">'zz-relay-dept-old-trans'!$32:$33</definedName>
    <definedName name="_xlnm.Print_Titles" localSheetId="5">'zz-sub-dept-old-trans'!$27:$27</definedName>
    <definedName name="project_client">data!$J$4</definedName>
    <definedName name="project_station">data!$J$5</definedName>
    <definedName name="project_title">data!$J$3</definedName>
    <definedName name="range_code">OFFSET(data!$N$3,0,0,COUNTA(data!$N$3:$N$100),1)</definedName>
    <definedName name="relaycategories">OFFSET(data!$N$3,0,0,COUNTA(data!$N$3:$N$100),2)</definedName>
    <definedName name="save_path">data!$L$7</definedName>
    <definedName name="shipping">data!$L$9:$L$15</definedName>
    <definedName name="VSTS_ValidationRange_4028e03ad2204453a9273d6d62e0691b" hidden="1">VSTS_ValidationWS_1!$C$1</definedName>
    <definedName name="VSTS_ValidationRange_41eea446aa634f6d8682bef3342f5cfe" hidden="1">VSTS_ValidationWS_1!$A$1</definedName>
    <definedName name="VSTS_ValidationRange_5eb26c25ef6f4997b240e837d8f224bf" hidden="1">VSTS_ValidationWS_1!$E$1</definedName>
    <definedName name="VSTS_ValidationRange_d4c6d991edda444586ee18db5751f1ef" hidden="1">VSTS_ValidationWS_1!$B$1</definedName>
    <definedName name="VSTS_ValidationRange_f006900b6e1e4a0397066e12b52c9af9" hidden="1">VSTS_ValidationWS_1!$D$1</definedName>
  </definedNames>
  <calcPr calcId="162913"/>
</workbook>
</file>

<file path=xl/calcChain.xml><?xml version="1.0" encoding="utf-8"?>
<calcChain xmlns="http://schemas.openxmlformats.org/spreadsheetml/2006/main">
  <c r="B22" i="17" l="1"/>
  <c r="A22" i="17"/>
  <c r="B21" i="17"/>
  <c r="A21" i="17"/>
  <c r="B20" i="17"/>
  <c r="A20" i="17"/>
  <c r="B19" i="17"/>
  <c r="AE19" i="17" s="1"/>
  <c r="A19" i="17"/>
  <c r="B18" i="17"/>
  <c r="A18" i="17"/>
  <c r="B17" i="17"/>
  <c r="A17" i="17"/>
  <c r="B15" i="17"/>
  <c r="A15" i="17"/>
  <c r="B23" i="17"/>
  <c r="AE23" i="17" s="1"/>
  <c r="A23" i="17"/>
  <c r="B12" i="17"/>
  <c r="A12" i="17"/>
  <c r="B13" i="17"/>
  <c r="A13" i="17"/>
  <c r="AE17" i="17" l="1"/>
  <c r="AE13" i="17"/>
  <c r="AE21" i="17"/>
  <c r="AE18" i="17"/>
  <c r="AE22" i="17"/>
  <c r="AE12" i="17"/>
  <c r="AE15" i="17"/>
  <c r="AE20" i="17"/>
  <c r="A27" i="17"/>
  <c r="A28" i="17"/>
  <c r="B27" i="17"/>
  <c r="B28" i="17"/>
  <c r="AE27" i="17" l="1"/>
  <c r="AE28" i="17"/>
  <c r="B6" i="17"/>
  <c r="A6" i="17"/>
  <c r="B8" i="17"/>
  <c r="A8" i="17"/>
  <c r="AE6" i="17" l="1"/>
  <c r="AE8" i="17"/>
  <c r="B7" i="17"/>
  <c r="A7" i="17"/>
  <c r="B9" i="17"/>
  <c r="A9" i="17"/>
  <c r="B10" i="17"/>
  <c r="A10" i="17"/>
  <c r="B11" i="17"/>
  <c r="A11" i="17"/>
  <c r="B14" i="17"/>
  <c r="A14" i="17"/>
  <c r="B24" i="17"/>
  <c r="A24" i="17"/>
  <c r="B34" i="17"/>
  <c r="A34" i="17"/>
  <c r="B33" i="17"/>
  <c r="A33" i="17"/>
  <c r="B32" i="17"/>
  <c r="A32" i="17"/>
  <c r="B31" i="17"/>
  <c r="A31" i="17"/>
  <c r="B30" i="17"/>
  <c r="A30" i="17"/>
  <c r="B29" i="17"/>
  <c r="A29" i="17"/>
  <c r="B26" i="17"/>
  <c r="A26" i="17"/>
  <c r="B35" i="17"/>
  <c r="A35" i="17"/>
  <c r="AE9" i="17" l="1"/>
  <c r="AE10" i="17"/>
  <c r="AE14" i="17"/>
  <c r="AE7" i="17"/>
  <c r="AE11" i="17"/>
  <c r="AE26" i="17"/>
  <c r="AE29" i="17"/>
  <c r="AE30" i="17"/>
  <c r="AE34" i="17"/>
  <c r="AE24" i="17"/>
  <c r="AE32" i="17"/>
  <c r="AE33" i="17"/>
  <c r="AE31" i="17"/>
  <c r="AE35" i="17"/>
  <c r="B37" i="17"/>
  <c r="A37" i="17"/>
  <c r="AE37" i="17" l="1"/>
  <c r="B45" i="17"/>
  <c r="A45" i="17"/>
  <c r="B44" i="17"/>
  <c r="A44" i="17"/>
  <c r="B43" i="17"/>
  <c r="A43" i="17"/>
  <c r="B42" i="17"/>
  <c r="A42" i="17"/>
  <c r="B41" i="17"/>
  <c r="A41" i="17"/>
  <c r="B40" i="17"/>
  <c r="A40" i="17"/>
  <c r="AE42" i="17" l="1"/>
  <c r="AE43" i="17"/>
  <c r="AE40" i="17"/>
  <c r="AE44" i="17"/>
  <c r="AE41" i="17"/>
  <c r="AE45" i="17"/>
  <c r="B280" i="17"/>
  <c r="A280" i="17"/>
  <c r="B279" i="17"/>
  <c r="A279" i="17"/>
  <c r="B278" i="17"/>
  <c r="A278" i="17"/>
  <c r="B277" i="17"/>
  <c r="A277" i="17"/>
  <c r="B270" i="17"/>
  <c r="A270" i="17"/>
  <c r="B269" i="17"/>
  <c r="A269" i="17"/>
  <c r="B268" i="17"/>
  <c r="A268" i="17"/>
  <c r="B267" i="17"/>
  <c r="A267" i="17"/>
  <c r="B266" i="17"/>
  <c r="A266" i="17"/>
  <c r="B265" i="17"/>
  <c r="A265" i="17"/>
  <c r="B264" i="17"/>
  <c r="A264" i="17"/>
  <c r="B263" i="17"/>
  <c r="A263" i="17"/>
  <c r="B262" i="17"/>
  <c r="A262" i="17"/>
  <c r="B261" i="17"/>
  <c r="A261" i="17"/>
  <c r="B260" i="17"/>
  <c r="A260" i="17"/>
  <c r="B259" i="17"/>
  <c r="A259" i="17"/>
  <c r="B258" i="17"/>
  <c r="A258" i="17"/>
  <c r="B257" i="17"/>
  <c r="A257" i="17"/>
  <c r="B256" i="17"/>
  <c r="A256" i="17"/>
  <c r="B255" i="17"/>
  <c r="A255" i="17"/>
  <c r="B254" i="17"/>
  <c r="A254" i="17"/>
  <c r="B253" i="17"/>
  <c r="A253" i="17"/>
  <c r="B252" i="17"/>
  <c r="A252" i="17"/>
  <c r="B251" i="17"/>
  <c r="A251" i="17"/>
  <c r="B250" i="17"/>
  <c r="A250" i="17"/>
  <c r="B249" i="17"/>
  <c r="A249" i="17"/>
  <c r="B248" i="17"/>
  <c r="A248" i="17"/>
  <c r="B133" i="17"/>
  <c r="A133" i="17"/>
  <c r="B134" i="17"/>
  <c r="A134" i="17"/>
  <c r="AE133" i="17" l="1"/>
  <c r="AE251" i="17"/>
  <c r="AE255" i="17"/>
  <c r="AE259" i="17"/>
  <c r="AE263" i="17"/>
  <c r="AE267" i="17"/>
  <c r="AE248" i="17"/>
  <c r="AE252" i="17"/>
  <c r="AE256" i="17"/>
  <c r="AE260" i="17"/>
  <c r="AE264" i="17"/>
  <c r="AE268" i="17"/>
  <c r="AE278" i="17"/>
  <c r="AE134" i="17"/>
  <c r="AE250" i="17"/>
  <c r="AE254" i="17"/>
  <c r="AE258" i="17"/>
  <c r="AE262" i="17"/>
  <c r="AE266" i="17"/>
  <c r="AE270" i="17"/>
  <c r="AE280" i="17"/>
  <c r="AE253" i="17"/>
  <c r="AE261" i="17"/>
  <c r="AE279" i="17"/>
  <c r="AE249" i="17"/>
  <c r="AE257" i="17"/>
  <c r="AE265" i="17"/>
  <c r="AE269" i="17"/>
  <c r="AE277" i="17"/>
  <c r="B272" i="17"/>
  <c r="A272" i="17"/>
  <c r="B274" i="17"/>
  <c r="A274" i="17"/>
  <c r="B273" i="17"/>
  <c r="A273" i="17"/>
  <c r="B275" i="17"/>
  <c r="A275" i="17"/>
  <c r="AE275" i="17" l="1"/>
  <c r="AE274" i="17"/>
  <c r="AE273" i="17"/>
  <c r="AE272" i="17"/>
  <c r="I4" i="363"/>
  <c r="B6" i="363"/>
  <c r="A182" i="17" l="1"/>
  <c r="A183" i="17"/>
  <c r="A184" i="17"/>
  <c r="A185" i="17"/>
  <c r="A186" i="17"/>
  <c r="A187" i="17"/>
  <c r="A188" i="17"/>
  <c r="A189" i="17"/>
  <c r="A190" i="17"/>
  <c r="A191" i="17"/>
  <c r="A192" i="17"/>
  <c r="A193" i="17"/>
  <c r="A194" i="17"/>
  <c r="A195" i="17"/>
  <c r="A196" i="17"/>
  <c r="A197" i="17"/>
  <c r="A198" i="17"/>
  <c r="A199" i="17"/>
  <c r="A200" i="17"/>
  <c r="A201" i="17"/>
  <c r="A202" i="17"/>
  <c r="A203" i="17"/>
  <c r="A204" i="17"/>
  <c r="A205" i="17"/>
  <c r="A206" i="17"/>
  <c r="A207" i="17"/>
  <c r="A208" i="17"/>
  <c r="A209" i="17"/>
  <c r="A210" i="17"/>
  <c r="A211" i="17"/>
  <c r="A212" i="17"/>
  <c r="A213" i="17"/>
  <c r="A214" i="17"/>
  <c r="A215" i="17"/>
  <c r="A216" i="17"/>
  <c r="A217" i="17"/>
  <c r="A218" i="17"/>
  <c r="A219" i="17"/>
  <c r="A220" i="17"/>
  <c r="A221" i="17"/>
  <c r="A222" i="17"/>
  <c r="A223" i="17"/>
  <c r="A224" i="17"/>
  <c r="A225" i="17"/>
  <c r="A226" i="17"/>
  <c r="A227" i="17"/>
  <c r="A228" i="17"/>
  <c r="A229" i="17"/>
  <c r="A230" i="17"/>
  <c r="A231" i="17"/>
  <c r="A232" i="17"/>
  <c r="A233" i="17"/>
  <c r="A234" i="17"/>
  <c r="A235" i="17"/>
  <c r="A236" i="17"/>
  <c r="A237" i="17"/>
  <c r="A238" i="17"/>
  <c r="A239" i="17"/>
  <c r="A240" i="17"/>
  <c r="A241" i="17"/>
  <c r="A242" i="17"/>
  <c r="A243" i="17"/>
  <c r="A244" i="17"/>
  <c r="A245" i="17"/>
  <c r="A246" i="17"/>
  <c r="A247" i="17"/>
  <c r="A271" i="17"/>
  <c r="A276" i="17"/>
  <c r="A281" i="17"/>
  <c r="A282" i="17"/>
  <c r="A283" i="17"/>
  <c r="I3" i="363" l="1"/>
  <c r="I2" i="363"/>
  <c r="A25" i="363" l="1"/>
  <c r="A26" i="363" s="1"/>
  <c r="A27" i="363" s="1"/>
  <c r="A28" i="363" s="1"/>
  <c r="A29" i="363" s="1"/>
  <c r="A30" i="363" s="1"/>
  <c r="A31" i="363" s="1"/>
  <c r="A32" i="363" s="1"/>
  <c r="A33" i="363" s="1"/>
  <c r="A34" i="363" s="1"/>
  <c r="A35" i="363" s="1"/>
  <c r="A36" i="363" s="1"/>
  <c r="A37" i="363" s="1"/>
  <c r="A38" i="363" s="1"/>
  <c r="A39" i="363" s="1"/>
  <c r="A40" i="363" s="1"/>
  <c r="A41" i="363" s="1"/>
  <c r="A42" i="363" s="1"/>
  <c r="A43" i="363" s="1"/>
  <c r="A44" i="363" s="1"/>
  <c r="A45" i="363" s="1"/>
  <c r="A46" i="363" s="1"/>
  <c r="A47" i="363" s="1"/>
  <c r="A48" i="363" s="1"/>
  <c r="A49" i="363" s="1"/>
  <c r="A50" i="363" s="1"/>
  <c r="A51" i="363" s="1"/>
  <c r="A52" i="363" s="1"/>
  <c r="A53" i="363" s="1"/>
  <c r="A54" i="363" s="1"/>
  <c r="A55" i="363" s="1"/>
  <c r="A56" i="363" s="1"/>
  <c r="A57" i="363" s="1"/>
  <c r="A58" i="363" s="1"/>
  <c r="A59" i="363" s="1"/>
  <c r="A60" i="363" s="1"/>
  <c r="A61" i="363" s="1"/>
  <c r="A62" i="363" s="1"/>
  <c r="A63" i="363" s="1"/>
  <c r="A64" i="363" s="1"/>
  <c r="A65" i="363" s="1"/>
  <c r="A66" i="363" s="1"/>
  <c r="A67" i="363" s="1"/>
  <c r="A68" i="363" s="1"/>
  <c r="A69" i="363" s="1"/>
  <c r="A70" i="363" s="1"/>
  <c r="A71" i="363" s="1"/>
  <c r="A72" i="363" s="1"/>
  <c r="A73" i="363" s="1"/>
  <c r="A74" i="363" s="1"/>
  <c r="A75" i="363" s="1"/>
  <c r="A76" i="363" s="1"/>
  <c r="A77" i="363" s="1"/>
  <c r="A78" i="363" s="1"/>
  <c r="A79" i="363" s="1"/>
  <c r="A80" i="363" s="1"/>
  <c r="A81" i="363" s="1"/>
  <c r="A82" i="363" s="1"/>
  <c r="A83" i="363" s="1"/>
  <c r="A84" i="363" s="1"/>
  <c r="A85" i="363" s="1"/>
  <c r="A86" i="363" s="1"/>
  <c r="A87" i="363" s="1"/>
  <c r="A88" i="363" s="1"/>
  <c r="A89" i="363" s="1"/>
  <c r="A90" i="363" s="1"/>
  <c r="A91" i="363" s="1"/>
  <c r="A92" i="363" s="1"/>
  <c r="A93" i="363" s="1"/>
  <c r="A94" i="363" s="1"/>
  <c r="A95" i="363" s="1"/>
  <c r="A96" i="363" s="1"/>
  <c r="A97" i="363" s="1"/>
  <c r="A98" i="363" s="1"/>
  <c r="A99" i="363" s="1"/>
  <c r="A100" i="363" s="1"/>
  <c r="A101" i="363" s="1"/>
  <c r="A102" i="363" s="1"/>
  <c r="A103" i="363" s="1"/>
  <c r="A104" i="363" s="1"/>
  <c r="A105" i="363" s="1"/>
  <c r="A106" i="363" s="1"/>
  <c r="A107" i="363" s="1"/>
  <c r="A108" i="363" s="1"/>
  <c r="A109" i="363" s="1"/>
  <c r="A110" i="363" s="1"/>
  <c r="A111" i="363" s="1"/>
  <c r="A112" i="363" s="1"/>
  <c r="A113" i="363" s="1"/>
  <c r="A114" i="363" s="1"/>
  <c r="A115" i="363" s="1"/>
  <c r="A116" i="363" s="1"/>
  <c r="A117" i="363" s="1"/>
  <c r="A118" i="363" s="1"/>
  <c r="A119" i="363" s="1"/>
  <c r="A120" i="363" s="1"/>
  <c r="A121" i="363" s="1"/>
  <c r="A122" i="363" s="1"/>
  <c r="A123" i="363" s="1"/>
  <c r="A124" i="363" s="1"/>
  <c r="A125" i="363" s="1"/>
  <c r="A126" i="363" s="1"/>
  <c r="A127" i="363" s="1"/>
  <c r="A128" i="363" s="1"/>
  <c r="A129" i="363" s="1"/>
  <c r="A130" i="363" s="1"/>
  <c r="A131" i="363" s="1"/>
  <c r="A132" i="363" s="1"/>
  <c r="A133" i="363" s="1"/>
  <c r="A134" i="363" s="1"/>
  <c r="A135" i="363" s="1"/>
  <c r="A136" i="363" s="1"/>
  <c r="A137" i="363" s="1"/>
  <c r="A138" i="363" s="1"/>
  <c r="A139" i="363" s="1"/>
  <c r="A140" i="363" s="1"/>
  <c r="A141" i="363" s="1"/>
  <c r="A142" i="363" s="1"/>
  <c r="A143" i="363" s="1"/>
  <c r="A144" i="363" s="1"/>
  <c r="A145" i="363" s="1"/>
  <c r="A146" i="363" s="1"/>
  <c r="A147" i="363" s="1"/>
  <c r="A148" i="363" s="1"/>
  <c r="A149" i="363" s="1"/>
  <c r="A150" i="363" s="1"/>
  <c r="A151" i="363" s="1"/>
  <c r="A152" i="363" s="1"/>
  <c r="A153" i="363" s="1"/>
  <c r="A154" i="363" s="1"/>
  <c r="A155" i="363" s="1"/>
  <c r="A156" i="363" s="1"/>
  <c r="A157" i="363" s="1"/>
  <c r="A158" i="363" s="1"/>
  <c r="A159" i="363" s="1"/>
  <c r="A160" i="363" s="1"/>
  <c r="A161" i="363" s="1"/>
  <c r="A162" i="363" s="1"/>
  <c r="A163" i="363" s="1"/>
  <c r="A164" i="363" s="1"/>
  <c r="A165" i="363" s="1"/>
  <c r="A166" i="363" s="1"/>
  <c r="A167" i="363" s="1"/>
  <c r="A168" i="363" s="1"/>
  <c r="A169" i="363" s="1"/>
  <c r="A170" i="363" s="1"/>
  <c r="A171" i="363" s="1"/>
  <c r="A172" i="363" s="1"/>
  <c r="A173" i="363" s="1"/>
  <c r="A174" i="363" s="1"/>
  <c r="A175" i="363" s="1"/>
  <c r="A176" i="363" s="1"/>
  <c r="A177" i="363" s="1"/>
  <c r="A178" i="363" s="1"/>
  <c r="A179" i="363" s="1"/>
  <c r="A180" i="363" s="1"/>
  <c r="A181" i="363" s="1"/>
  <c r="A182" i="363" s="1"/>
  <c r="A183" i="363" s="1"/>
  <c r="A184" i="363" s="1"/>
  <c r="A185" i="363" s="1"/>
  <c r="A186" i="363" s="1"/>
  <c r="A187" i="363" s="1"/>
  <c r="A188" i="363" s="1"/>
  <c r="A189" i="363" s="1"/>
  <c r="A190" i="363" s="1"/>
  <c r="A191" i="363" s="1"/>
  <c r="A192" i="363" s="1"/>
  <c r="A193" i="363" s="1"/>
  <c r="A194" i="363" s="1"/>
  <c r="A195" i="363" s="1"/>
  <c r="A196" i="363" s="1"/>
  <c r="A197" i="363" s="1"/>
  <c r="A198" i="363" s="1"/>
  <c r="A199" i="363" s="1"/>
  <c r="A200" i="363" s="1"/>
  <c r="A201" i="363" s="1"/>
  <c r="A202" i="363" s="1"/>
  <c r="A203" i="363" s="1"/>
  <c r="A204" i="363" s="1"/>
  <c r="A205" i="363" s="1"/>
  <c r="A206" i="363" s="1"/>
  <c r="A207" i="363" s="1"/>
  <c r="A208" i="363" s="1"/>
  <c r="A209" i="363" s="1"/>
  <c r="A210" i="363" s="1"/>
  <c r="A211" i="363" s="1"/>
  <c r="A212" i="363" s="1"/>
  <c r="A213" i="363" s="1"/>
  <c r="A214" i="363" s="1"/>
  <c r="A215" i="363" s="1"/>
  <c r="A216" i="363" s="1"/>
  <c r="A217" i="363" s="1"/>
  <c r="A218" i="363" s="1"/>
  <c r="A219" i="363" s="1"/>
  <c r="A220" i="363" s="1"/>
  <c r="A221" i="363" s="1"/>
  <c r="A222" i="363" s="1"/>
  <c r="A223" i="363" s="1"/>
  <c r="A224" i="363" s="1"/>
  <c r="A225" i="363" s="1"/>
  <c r="A226" i="363" s="1"/>
  <c r="A227" i="363" s="1"/>
  <c r="A228" i="363" s="1"/>
  <c r="A229" i="363" s="1"/>
  <c r="A230" i="363" s="1"/>
  <c r="A231" i="363" s="1"/>
  <c r="A232" i="363" s="1"/>
  <c r="A233" i="363" s="1"/>
  <c r="A234" i="363" s="1"/>
  <c r="A235" i="363" s="1"/>
  <c r="A236" i="363" s="1"/>
  <c r="A237" i="363" s="1"/>
  <c r="A238" i="363" s="1"/>
  <c r="A239" i="363" s="1"/>
  <c r="A240" i="363" s="1"/>
  <c r="A241" i="363" s="1"/>
  <c r="A242" i="363" s="1"/>
  <c r="A243" i="363" s="1"/>
  <c r="A244" i="363" s="1"/>
  <c r="A245" i="363" s="1"/>
  <c r="A246" i="363" s="1"/>
  <c r="A247" i="363" s="1"/>
  <c r="A248" i="363" s="1"/>
  <c r="A249" i="363" s="1"/>
  <c r="A250" i="363" s="1"/>
  <c r="A251" i="363" s="1"/>
  <c r="A252" i="363" s="1"/>
  <c r="A253" i="363" s="1"/>
  <c r="A254" i="363" s="1"/>
  <c r="A255" i="363" s="1"/>
  <c r="A256" i="363" s="1"/>
  <c r="A257" i="363" s="1"/>
  <c r="A258" i="363" s="1"/>
  <c r="A259" i="363" s="1"/>
  <c r="A260" i="363" s="1"/>
  <c r="A261" i="363" s="1"/>
  <c r="A262" i="363" s="1"/>
  <c r="A263" i="363" s="1"/>
  <c r="A264" i="363" s="1"/>
  <c r="A265" i="363" s="1"/>
  <c r="A266" i="363" s="1"/>
  <c r="A267" i="363" s="1"/>
  <c r="A268" i="363" s="1"/>
  <c r="A269" i="363" s="1"/>
  <c r="A270" i="363" s="1"/>
  <c r="A271" i="363" s="1"/>
  <c r="A272" i="363" s="1"/>
  <c r="A273" i="363" s="1"/>
  <c r="A274" i="363" s="1"/>
  <c r="A275" i="363" s="1"/>
  <c r="A276" i="363" s="1"/>
  <c r="A277" i="363" s="1"/>
  <c r="A278" i="363" s="1"/>
  <c r="A279" i="363" s="1"/>
  <c r="A280" i="363" s="1"/>
  <c r="A281" i="363" s="1"/>
  <c r="A282" i="363" s="1"/>
  <c r="A283" i="363" s="1"/>
  <c r="A284" i="363" s="1"/>
  <c r="A285" i="363" s="1"/>
  <c r="A286" i="363" s="1"/>
  <c r="A287" i="363" s="1"/>
  <c r="A288" i="363" s="1"/>
  <c r="A289" i="363" s="1"/>
  <c r="A290" i="363" s="1"/>
  <c r="A291" i="363" s="1"/>
  <c r="A292" i="363" s="1"/>
  <c r="A293" i="363" s="1"/>
  <c r="A294" i="363" s="1"/>
  <c r="A295" i="363" s="1"/>
  <c r="A296" i="363" s="1"/>
  <c r="A297" i="363" s="1"/>
  <c r="A298" i="363" s="1"/>
  <c r="A299" i="363" s="1"/>
  <c r="A300" i="363" s="1"/>
  <c r="A301" i="363" s="1"/>
  <c r="A302" i="363" s="1"/>
  <c r="A303" i="363" s="1"/>
  <c r="A304" i="363" s="1"/>
  <c r="A305" i="363" s="1"/>
  <c r="A306" i="363" s="1"/>
  <c r="A307" i="363" s="1"/>
  <c r="A308" i="363" s="1"/>
  <c r="A309" i="363" s="1"/>
  <c r="A310" i="363" s="1"/>
  <c r="A311" i="363" s="1"/>
  <c r="A312" i="363" s="1"/>
  <c r="A313" i="363" s="1"/>
  <c r="A314" i="363" s="1"/>
  <c r="A315" i="363" s="1"/>
  <c r="A316" i="363" s="1"/>
  <c r="A317" i="363" s="1"/>
  <c r="A318" i="363" s="1"/>
  <c r="A319" i="363" s="1"/>
  <c r="A320" i="363" s="1"/>
  <c r="A321" i="363" s="1"/>
  <c r="A322" i="363" s="1"/>
  <c r="A323" i="363" s="1"/>
  <c r="A324" i="363" s="1"/>
  <c r="A325" i="363" s="1"/>
  <c r="A326" i="363" s="1"/>
  <c r="A327" i="363" s="1"/>
  <c r="A328" i="363" s="1"/>
  <c r="A329" i="363" s="1"/>
  <c r="A330" i="363" s="1"/>
  <c r="A331" i="363" s="1"/>
  <c r="A332" i="363" s="1"/>
  <c r="A333" i="363" s="1"/>
  <c r="A334" i="363" s="1"/>
  <c r="A335" i="363" s="1"/>
  <c r="A336" i="363" s="1"/>
  <c r="A337" i="363" s="1"/>
  <c r="A338" i="363" s="1"/>
  <c r="A339" i="363" s="1"/>
  <c r="A340" i="363" s="1"/>
  <c r="A341" i="363" s="1"/>
  <c r="A342" i="363" s="1"/>
  <c r="A343" i="363" s="1"/>
  <c r="A344" i="363" s="1"/>
  <c r="A345" i="363" s="1"/>
  <c r="A346" i="363" s="1"/>
  <c r="A347" i="363" s="1"/>
  <c r="A348" i="363" s="1"/>
  <c r="A349" i="363" s="1"/>
  <c r="A350" i="363" s="1"/>
  <c r="A351" i="363" s="1"/>
  <c r="A352" i="363" s="1"/>
  <c r="A353" i="363" s="1"/>
  <c r="A354" i="363" s="1"/>
  <c r="A355" i="363" s="1"/>
  <c r="A356" i="363" s="1"/>
  <c r="A357" i="363" s="1"/>
  <c r="A358" i="363" s="1"/>
  <c r="A359" i="363" s="1"/>
  <c r="A360" i="363" s="1"/>
  <c r="A361" i="363" s="1"/>
  <c r="A362" i="363" s="1"/>
  <c r="A363" i="363" s="1"/>
  <c r="A364" i="363" s="1"/>
  <c r="A365" i="363" s="1"/>
  <c r="A366" i="363" s="1"/>
  <c r="A367" i="363" s="1"/>
  <c r="A368" i="363" s="1"/>
  <c r="A369" i="363" s="1"/>
  <c r="A370" i="363" s="1"/>
  <c r="A371" i="363" s="1"/>
  <c r="A372" i="363" s="1"/>
  <c r="A373" i="363" s="1"/>
  <c r="A374" i="363" s="1"/>
  <c r="A375" i="363" s="1"/>
  <c r="A376" i="363" s="1"/>
  <c r="A377" i="363" s="1"/>
  <c r="A378" i="363" s="1"/>
  <c r="A379" i="363" s="1"/>
  <c r="A380" i="363" s="1"/>
  <c r="A381" i="363" s="1"/>
  <c r="A382" i="363" s="1"/>
  <c r="A383" i="363" s="1"/>
  <c r="A384" i="363" s="1"/>
  <c r="A385" i="363" s="1"/>
  <c r="A386" i="363" s="1"/>
  <c r="A387" i="363" s="1"/>
  <c r="A388" i="363" s="1"/>
  <c r="A389" i="363" s="1"/>
  <c r="A390" i="363" s="1"/>
  <c r="A391" i="363" s="1"/>
  <c r="A392" i="363" s="1"/>
  <c r="A393" i="363" s="1"/>
  <c r="A394" i="363" s="1"/>
  <c r="A395" i="363" s="1"/>
  <c r="A396" i="363" s="1"/>
  <c r="A397" i="363" s="1"/>
  <c r="A398" i="363" s="1"/>
  <c r="A399" i="363" s="1"/>
  <c r="A400" i="363" s="1"/>
  <c r="A401" i="363" s="1"/>
  <c r="A402" i="363" s="1"/>
  <c r="A403" i="363" s="1"/>
  <c r="A404" i="363" s="1"/>
  <c r="A405" i="363" s="1"/>
  <c r="A406" i="363" s="1"/>
  <c r="A407" i="363" s="1"/>
  <c r="A408" i="363" s="1"/>
  <c r="A409" i="363" s="1"/>
  <c r="A410" i="363" s="1"/>
  <c r="A411" i="363" s="1"/>
  <c r="A412" i="363" s="1"/>
  <c r="A413" i="363" s="1"/>
  <c r="A414" i="363" s="1"/>
  <c r="A415" i="363" s="1"/>
  <c r="A416" i="363" s="1"/>
  <c r="A417" i="363" s="1"/>
  <c r="A418" i="363" s="1"/>
  <c r="A419" i="363" s="1"/>
  <c r="A420" i="363" s="1"/>
  <c r="A421" i="363" s="1"/>
  <c r="A422" i="363" s="1"/>
  <c r="A423" i="363" s="1"/>
  <c r="A68" i="17" l="1"/>
  <c r="B230" i="17" l="1"/>
  <c r="AE230" i="17" s="1"/>
  <c r="A38" i="17" l="1"/>
  <c r="B71" i="17" l="1"/>
  <c r="A71" i="17"/>
  <c r="AE71" i="17" l="1"/>
  <c r="A25" i="78"/>
  <c r="A26" i="78" s="1"/>
  <c r="A27" i="78" s="1"/>
  <c r="A28" i="78" s="1"/>
  <c r="A29" i="78" s="1"/>
  <c r="A30" i="78" s="1"/>
  <c r="A31" i="78" s="1"/>
  <c r="A32" i="78" s="1"/>
  <c r="A33" i="78" s="1"/>
  <c r="A34" i="78" s="1"/>
  <c r="A35" i="78" s="1"/>
  <c r="A36" i="78" s="1"/>
  <c r="A37" i="78" s="1"/>
  <c r="A38" i="78" s="1"/>
  <c r="A39" i="78" s="1"/>
  <c r="A40" i="78" s="1"/>
  <c r="A41" i="78" s="1"/>
  <c r="A42" i="78" s="1"/>
  <c r="A43" i="78" s="1"/>
  <c r="A44" i="78" s="1"/>
  <c r="A45" i="78" s="1"/>
  <c r="A46" i="78" s="1"/>
  <c r="A47" i="78" s="1"/>
  <c r="A48" i="78" s="1"/>
  <c r="A49" i="78" s="1"/>
  <c r="A50" i="78" s="1"/>
  <c r="A51" i="78" s="1"/>
  <c r="A52" i="78" s="1"/>
  <c r="A53" i="78" s="1"/>
  <c r="A54" i="78" s="1"/>
  <c r="A55" i="78" s="1"/>
  <c r="A56" i="78" s="1"/>
  <c r="A57" i="78" s="1"/>
  <c r="A58" i="78" s="1"/>
  <c r="A59" i="78" s="1"/>
  <c r="A60" i="78" s="1"/>
  <c r="A61" i="78" s="1"/>
  <c r="A62" i="78" s="1"/>
  <c r="A63" i="78" s="1"/>
  <c r="A64" i="78" s="1"/>
  <c r="A65" i="78" s="1"/>
  <c r="A66" i="78" s="1"/>
  <c r="A67" i="78" s="1"/>
  <c r="A68" i="78" s="1"/>
  <c r="A69" i="78" s="1"/>
  <c r="A70" i="78" s="1"/>
  <c r="A71" i="78" s="1"/>
  <c r="A72" i="78" s="1"/>
  <c r="A73" i="78" s="1"/>
  <c r="A74" i="78" s="1"/>
  <c r="A75" i="78" s="1"/>
  <c r="A76" i="78" s="1"/>
  <c r="A77" i="78" s="1"/>
  <c r="A78" i="78" s="1"/>
  <c r="A79" i="78" s="1"/>
  <c r="A80" i="78" s="1"/>
  <c r="A81" i="78" s="1"/>
  <c r="A82" i="78" s="1"/>
  <c r="A83" i="78" s="1"/>
  <c r="A84" i="78" s="1"/>
  <c r="A85" i="78" s="1"/>
  <c r="A86" i="78" s="1"/>
  <c r="A87" i="78" s="1"/>
  <c r="A88" i="78" s="1"/>
  <c r="A89" i="78" s="1"/>
  <c r="A90" i="78" s="1"/>
  <c r="A91" i="78" s="1"/>
  <c r="A92" i="78" s="1"/>
  <c r="A93" i="78" s="1"/>
  <c r="A94" i="78" s="1"/>
  <c r="A95" i="78" s="1"/>
  <c r="A96" i="78" s="1"/>
  <c r="A97" i="78" s="1"/>
  <c r="A98" i="78" s="1"/>
  <c r="A99" i="78" s="1"/>
  <c r="A100" i="78" s="1"/>
  <c r="A101" i="78" s="1"/>
  <c r="A102" i="78" s="1"/>
  <c r="A103" i="78" s="1"/>
  <c r="A104" i="78" s="1"/>
  <c r="A105" i="78" s="1"/>
  <c r="A106" i="78" s="1"/>
  <c r="A107" i="78" s="1"/>
  <c r="A108" i="78" s="1"/>
  <c r="A109" i="78" s="1"/>
  <c r="A110" i="78" s="1"/>
  <c r="A111" i="78" s="1"/>
  <c r="A112" i="78" s="1"/>
  <c r="A113" i="78" s="1"/>
  <c r="A114" i="78" s="1"/>
  <c r="A115" i="78" s="1"/>
  <c r="A116" i="78" s="1"/>
  <c r="A117" i="78" s="1"/>
  <c r="A118" i="78" s="1"/>
  <c r="A119" i="78" s="1"/>
  <c r="A120" i="78" s="1"/>
  <c r="A121" i="78" s="1"/>
  <c r="A122" i="78" s="1"/>
  <c r="A123" i="78" s="1"/>
  <c r="A124" i="78" s="1"/>
  <c r="A125" i="78" s="1"/>
  <c r="A126" i="78" s="1"/>
  <c r="A127" i="78" s="1"/>
  <c r="B6" i="78"/>
  <c r="I4" i="78"/>
  <c r="I3" i="78"/>
  <c r="I2" i="78"/>
  <c r="K4" i="14" l="1"/>
  <c r="L4" i="73" l="1"/>
  <c r="L2" i="73"/>
  <c r="A35" i="73"/>
  <c r="A36" i="73" s="1"/>
  <c r="A37" i="73" s="1"/>
  <c r="A38" i="73" s="1"/>
  <c r="A39" i="73" s="1"/>
  <c r="A40" i="73" s="1"/>
  <c r="A41" i="73" s="1"/>
  <c r="A42" i="73" s="1"/>
  <c r="A43" i="73" s="1"/>
  <c r="A44" i="73" s="1"/>
  <c r="A45" i="73" s="1"/>
  <c r="A46" i="73" s="1"/>
  <c r="A47" i="73" s="1"/>
  <c r="A48" i="73" s="1"/>
  <c r="A49" i="73" s="1"/>
  <c r="A50" i="73" s="1"/>
  <c r="A51" i="73" s="1"/>
  <c r="A52" i="73" s="1"/>
  <c r="A53" i="73" s="1"/>
  <c r="A54" i="73" s="1"/>
  <c r="A55" i="73" s="1"/>
  <c r="A56" i="73" s="1"/>
  <c r="A57" i="73" s="1"/>
  <c r="A58" i="73" s="1"/>
  <c r="A59" i="73" s="1"/>
  <c r="A60" i="73" s="1"/>
  <c r="A61" i="73" s="1"/>
  <c r="A62" i="73" s="1"/>
  <c r="A63" i="73" s="1"/>
  <c r="A64" i="73" s="1"/>
  <c r="A65" i="73" s="1"/>
  <c r="A66" i="73" s="1"/>
  <c r="A67" i="73" s="1"/>
  <c r="A68" i="73" s="1"/>
  <c r="A69" i="73" s="1"/>
  <c r="A70" i="73" s="1"/>
  <c r="A71" i="73" s="1"/>
  <c r="A72" i="73" s="1"/>
  <c r="A73" i="73" s="1"/>
  <c r="A74" i="73" s="1"/>
  <c r="A75" i="73" s="1"/>
  <c r="A76" i="73" s="1"/>
  <c r="A77" i="73" s="1"/>
  <c r="A78" i="73" s="1"/>
  <c r="A79" i="73" s="1"/>
  <c r="A80" i="73" s="1"/>
  <c r="A81" i="73" s="1"/>
  <c r="A82" i="73" s="1"/>
  <c r="A83" i="73" s="1"/>
  <c r="A84" i="73" s="1"/>
  <c r="A85" i="73" s="1"/>
  <c r="A86" i="73" s="1"/>
  <c r="A87" i="73" s="1"/>
  <c r="A88" i="73" s="1"/>
  <c r="A89" i="73" s="1"/>
  <c r="A90" i="73" s="1"/>
  <c r="A91" i="73" s="1"/>
  <c r="A92" i="73" s="1"/>
  <c r="A93" i="73" s="1"/>
  <c r="A94" i="73" s="1"/>
  <c r="A95" i="73" s="1"/>
  <c r="A96" i="73" s="1"/>
  <c r="A97" i="73" s="1"/>
  <c r="A98" i="73" s="1"/>
  <c r="A99" i="73" s="1"/>
  <c r="A100" i="73" s="1"/>
  <c r="A101" i="73" s="1"/>
  <c r="A102" i="73" s="1"/>
  <c r="A103" i="73" s="1"/>
  <c r="A104" i="73" s="1"/>
  <c r="A105" i="73" s="1"/>
  <c r="A106" i="73" s="1"/>
  <c r="A107" i="73" s="1"/>
  <c r="A108" i="73" s="1"/>
  <c r="A109" i="73" s="1"/>
  <c r="A110" i="73" s="1"/>
  <c r="A111" i="73" s="1"/>
  <c r="A112" i="73" s="1"/>
  <c r="A113" i="73" s="1"/>
  <c r="A114" i="73" s="1"/>
  <c r="A115" i="73" s="1"/>
  <c r="A116" i="73" s="1"/>
  <c r="A117" i="73" s="1"/>
  <c r="A118" i="73" s="1"/>
  <c r="A119" i="73" s="1"/>
  <c r="A120" i="73" s="1"/>
  <c r="A121" i="73" s="1"/>
  <c r="A122" i="73" s="1"/>
  <c r="A123" i="73" s="1"/>
  <c r="A124" i="73" s="1"/>
  <c r="A125" i="73" s="1"/>
  <c r="A126" i="73" s="1"/>
  <c r="A127" i="73" s="1"/>
  <c r="A128" i="73" s="1"/>
  <c r="A129" i="73" s="1"/>
  <c r="A130" i="73" s="1"/>
  <c r="A131" i="73" s="1"/>
  <c r="A132" i="73" s="1"/>
  <c r="A133" i="73" s="1"/>
  <c r="U4" i="15" l="1"/>
  <c r="U5" i="15"/>
  <c r="U6" i="15"/>
  <c r="U7" i="15"/>
  <c r="U8" i="15"/>
  <c r="U9" i="15"/>
  <c r="U10" i="15"/>
  <c r="U11" i="15"/>
  <c r="U12" i="15"/>
  <c r="U13" i="15"/>
  <c r="U14" i="15"/>
  <c r="U15" i="15"/>
  <c r="U16" i="15"/>
  <c r="U17" i="15"/>
  <c r="U3" i="15"/>
  <c r="Q5" i="15"/>
  <c r="Q6" i="15"/>
  <c r="Q7" i="15"/>
  <c r="Q8" i="15"/>
  <c r="Q9" i="15"/>
  <c r="Q10" i="15"/>
  <c r="Q11" i="15"/>
  <c r="Q12" i="15"/>
  <c r="Q13" i="15"/>
  <c r="Q14" i="15"/>
  <c r="Q15" i="15"/>
  <c r="Q16" i="15"/>
  <c r="Q17" i="15"/>
  <c r="Q4" i="15"/>
  <c r="N2" i="15" l="1"/>
  <c r="B50" i="17" l="1"/>
  <c r="A50" i="17"/>
  <c r="AE50" i="17" l="1"/>
  <c r="K2" i="14"/>
  <c r="A2" i="17" l="1"/>
  <c r="A3" i="17"/>
  <c r="B48" i="17" l="1"/>
  <c r="A48" i="17"/>
  <c r="B49" i="17"/>
  <c r="A49" i="17"/>
  <c r="B36" i="17"/>
  <c r="A36" i="17"/>
  <c r="B54" i="17"/>
  <c r="A54" i="17"/>
  <c r="AE36" i="17" l="1"/>
  <c r="AE48" i="17"/>
  <c r="AE49" i="17"/>
  <c r="AE54" i="17"/>
  <c r="B55" i="17"/>
  <c r="A55" i="17"/>
  <c r="B52" i="17"/>
  <c r="A52" i="17"/>
  <c r="B38" i="17"/>
  <c r="AE38" i="17" s="1"/>
  <c r="B57" i="17"/>
  <c r="A57" i="17"/>
  <c r="B47" i="17"/>
  <c r="A47" i="17"/>
  <c r="AE47" i="17" l="1"/>
  <c r="AE52" i="17"/>
  <c r="AE57" i="17"/>
  <c r="AE55" i="17"/>
  <c r="K3" i="14"/>
  <c r="B53" i="17" l="1"/>
  <c r="B56" i="17"/>
  <c r="B51" i="17"/>
  <c r="B25" i="17"/>
  <c r="B59" i="17"/>
  <c r="B60" i="17"/>
  <c r="B63" i="17"/>
  <c r="B61" i="17"/>
  <c r="B39" i="17"/>
  <c r="B46" i="17"/>
  <c r="B58" i="17"/>
  <c r="B62" i="17"/>
  <c r="B64" i="17"/>
  <c r="B65" i="17"/>
  <c r="B66" i="17"/>
  <c r="B67" i="17"/>
  <c r="B16" i="17"/>
  <c r="B68" i="17"/>
  <c r="AE68" i="17" s="1"/>
  <c r="B69" i="17"/>
  <c r="B70" i="17"/>
  <c r="B72" i="17"/>
  <c r="B73" i="17"/>
  <c r="B74" i="17"/>
  <c r="B75" i="17"/>
  <c r="B76" i="17"/>
  <c r="B77" i="17"/>
  <c r="B78" i="17"/>
  <c r="B79" i="17"/>
  <c r="B80" i="17"/>
  <c r="B81" i="17"/>
  <c r="B82" i="17"/>
  <c r="B83" i="17"/>
  <c r="B84" i="17"/>
  <c r="B85" i="17"/>
  <c r="B86" i="17"/>
  <c r="B87" i="17"/>
  <c r="B88" i="17"/>
  <c r="B89" i="17"/>
  <c r="B90" i="17"/>
  <c r="B91" i="17"/>
  <c r="B92" i="17"/>
  <c r="B93" i="17"/>
  <c r="B94" i="17"/>
  <c r="B95" i="17"/>
  <c r="B96" i="17"/>
  <c r="B97" i="17"/>
  <c r="B98" i="17"/>
  <c r="B99" i="17"/>
  <c r="B100" i="17"/>
  <c r="B101" i="17"/>
  <c r="B102" i="17"/>
  <c r="B103" i="17"/>
  <c r="B104" i="17"/>
  <c r="B105" i="17"/>
  <c r="B106" i="17"/>
  <c r="B107" i="17"/>
  <c r="B108" i="17"/>
  <c r="B109" i="17"/>
  <c r="B110" i="17"/>
  <c r="B111" i="17"/>
  <c r="B112" i="17"/>
  <c r="B113" i="17"/>
  <c r="B114" i="17"/>
  <c r="B115" i="17"/>
  <c r="B116" i="17"/>
  <c r="B117" i="17"/>
  <c r="B118" i="17"/>
  <c r="B119" i="17"/>
  <c r="B120" i="17"/>
  <c r="B121" i="17"/>
  <c r="B122" i="17"/>
  <c r="B123" i="17"/>
  <c r="B124" i="17"/>
  <c r="B125" i="17"/>
  <c r="B126" i="17"/>
  <c r="B127" i="17"/>
  <c r="B128" i="17"/>
  <c r="B129" i="17"/>
  <c r="B130" i="17"/>
  <c r="B131" i="17"/>
  <c r="B132" i="17"/>
  <c r="B135" i="17"/>
  <c r="B136" i="17"/>
  <c r="B137" i="17"/>
  <c r="B138" i="17"/>
  <c r="B139" i="17"/>
  <c r="B140" i="17"/>
  <c r="B141" i="17"/>
  <c r="B142" i="17"/>
  <c r="B143" i="17"/>
  <c r="B144" i="17"/>
  <c r="B145" i="17"/>
  <c r="B146" i="17"/>
  <c r="B147" i="17"/>
  <c r="B148" i="17"/>
  <c r="B149" i="17"/>
  <c r="B150" i="17"/>
  <c r="B151" i="17"/>
  <c r="B152" i="17"/>
  <c r="B153" i="17"/>
  <c r="B154" i="17"/>
  <c r="B155" i="17"/>
  <c r="B156" i="17"/>
  <c r="B157" i="17"/>
  <c r="B158" i="17"/>
  <c r="B159" i="17"/>
  <c r="B160" i="17"/>
  <c r="B161" i="17"/>
  <c r="B162" i="17"/>
  <c r="B163" i="17"/>
  <c r="B164" i="17"/>
  <c r="B165" i="17"/>
  <c r="B166" i="17"/>
  <c r="B167" i="17"/>
  <c r="B168" i="17"/>
  <c r="B169" i="17"/>
  <c r="B170" i="17"/>
  <c r="B171" i="17"/>
  <c r="B172" i="17"/>
  <c r="B173" i="17"/>
  <c r="B174" i="17"/>
  <c r="B175" i="17"/>
  <c r="B176" i="17"/>
  <c r="B177" i="17"/>
  <c r="B178" i="17"/>
  <c r="B179" i="17"/>
  <c r="B180" i="17"/>
  <c r="B181" i="17"/>
  <c r="B182" i="17"/>
  <c r="B183" i="17"/>
  <c r="B184" i="17"/>
  <c r="B185" i="17"/>
  <c r="B186" i="17"/>
  <c r="B187" i="17"/>
  <c r="B188" i="17"/>
  <c r="B189" i="17"/>
  <c r="B190" i="17"/>
  <c r="B191" i="17"/>
  <c r="B192" i="17"/>
  <c r="AE192" i="17" s="1"/>
  <c r="B193" i="17"/>
  <c r="AE193" i="17" s="1"/>
  <c r="B194" i="17"/>
  <c r="AE194" i="17" s="1"/>
  <c r="B195" i="17"/>
  <c r="AE195" i="17" s="1"/>
  <c r="B196" i="17"/>
  <c r="AE196" i="17" s="1"/>
  <c r="B197" i="17"/>
  <c r="AE197" i="17" s="1"/>
  <c r="B198" i="17"/>
  <c r="AE198" i="17" s="1"/>
  <c r="B199" i="17"/>
  <c r="AE199" i="17" s="1"/>
  <c r="B200" i="17"/>
  <c r="AE200" i="17" s="1"/>
  <c r="B201" i="17"/>
  <c r="AE201" i="17" s="1"/>
  <c r="B202" i="17"/>
  <c r="AE202" i="17" s="1"/>
  <c r="B203" i="17"/>
  <c r="AE203" i="17" s="1"/>
  <c r="B204" i="17"/>
  <c r="AE204" i="17" s="1"/>
  <c r="B205" i="17"/>
  <c r="AE205" i="17" s="1"/>
  <c r="B206" i="17"/>
  <c r="AE206" i="17" s="1"/>
  <c r="B207" i="17"/>
  <c r="AE207" i="17" s="1"/>
  <c r="B208" i="17"/>
  <c r="AE208" i="17" s="1"/>
  <c r="B209" i="17"/>
  <c r="AE209" i="17" s="1"/>
  <c r="B210" i="17"/>
  <c r="AE210" i="17" s="1"/>
  <c r="B211" i="17"/>
  <c r="AE211" i="17" s="1"/>
  <c r="B212" i="17"/>
  <c r="AE212" i="17" s="1"/>
  <c r="B213" i="17"/>
  <c r="AE213" i="17" s="1"/>
  <c r="B214" i="17"/>
  <c r="AE214" i="17" s="1"/>
  <c r="B215" i="17"/>
  <c r="AE215" i="17" s="1"/>
  <c r="B216" i="17"/>
  <c r="AE216" i="17" s="1"/>
  <c r="B217" i="17"/>
  <c r="AE217" i="17" s="1"/>
  <c r="B218" i="17"/>
  <c r="AE218" i="17" s="1"/>
  <c r="B219" i="17"/>
  <c r="AE219" i="17" s="1"/>
  <c r="B220" i="17"/>
  <c r="AE220" i="17" s="1"/>
  <c r="B221" i="17"/>
  <c r="AE221" i="17" s="1"/>
  <c r="B222" i="17"/>
  <c r="AE222" i="17" s="1"/>
  <c r="B223" i="17"/>
  <c r="AE223" i="17" s="1"/>
  <c r="B224" i="17"/>
  <c r="AE224" i="17" s="1"/>
  <c r="B225" i="17"/>
  <c r="AE225" i="17" s="1"/>
  <c r="B226" i="17"/>
  <c r="AE226" i="17" s="1"/>
  <c r="B227" i="17"/>
  <c r="AE227" i="17" s="1"/>
  <c r="B228" i="17"/>
  <c r="AE228" i="17" s="1"/>
  <c r="B229" i="17"/>
  <c r="AE229" i="17" s="1"/>
  <c r="B231" i="17"/>
  <c r="AE231" i="17" s="1"/>
  <c r="B232" i="17"/>
  <c r="AE232" i="17" s="1"/>
  <c r="B233" i="17"/>
  <c r="AE233" i="17" s="1"/>
  <c r="B234" i="17"/>
  <c r="AE234" i="17" s="1"/>
  <c r="B235" i="17"/>
  <c r="AE235" i="17" s="1"/>
  <c r="B236" i="17"/>
  <c r="AE236" i="17" s="1"/>
  <c r="B237" i="17"/>
  <c r="AE237" i="17" s="1"/>
  <c r="B238" i="17"/>
  <c r="AE238" i="17" s="1"/>
  <c r="B239" i="17"/>
  <c r="AE239" i="17" s="1"/>
  <c r="B240" i="17"/>
  <c r="AE240" i="17" s="1"/>
  <c r="B241" i="17"/>
  <c r="AE241" i="17" s="1"/>
  <c r="B242" i="17"/>
  <c r="AE242" i="17" s="1"/>
  <c r="B243" i="17"/>
  <c r="AE243" i="17" s="1"/>
  <c r="B244" i="17"/>
  <c r="AE244" i="17" s="1"/>
  <c r="B245" i="17"/>
  <c r="AE245" i="17" s="1"/>
  <c r="B246" i="17"/>
  <c r="AE246" i="17" s="1"/>
  <c r="B247" i="17"/>
  <c r="AE247" i="17" s="1"/>
  <c r="B271" i="17"/>
  <c r="AE271" i="17" s="1"/>
  <c r="B276" i="17"/>
  <c r="AE276" i="17" s="1"/>
  <c r="B281" i="17"/>
  <c r="AE281" i="17" s="1"/>
  <c r="B282" i="17"/>
  <c r="AE282" i="17" s="1"/>
  <c r="B283" i="17"/>
  <c r="AE283" i="17" s="1"/>
  <c r="A53" i="17"/>
  <c r="A56" i="17"/>
  <c r="A51" i="17"/>
  <c r="A25" i="17"/>
  <c r="A59" i="17"/>
  <c r="A60" i="17"/>
  <c r="A63" i="17"/>
  <c r="A61" i="17"/>
  <c r="A39" i="17"/>
  <c r="A46" i="17"/>
  <c r="A58" i="17"/>
  <c r="A62" i="17"/>
  <c r="A64" i="17"/>
  <c r="A65" i="17"/>
  <c r="A66" i="17"/>
  <c r="A67" i="17"/>
  <c r="A16" i="17"/>
  <c r="A69" i="17"/>
  <c r="A70" i="17"/>
  <c r="A72" i="17"/>
  <c r="A73" i="17"/>
  <c r="A74" i="17"/>
  <c r="A75" i="17"/>
  <c r="A76" i="17"/>
  <c r="A77" i="17"/>
  <c r="A78" i="17"/>
  <c r="A79" i="17"/>
  <c r="A80" i="17"/>
  <c r="A81" i="17"/>
  <c r="A82" i="17"/>
  <c r="A83" i="17"/>
  <c r="A84" i="17"/>
  <c r="A85" i="17"/>
  <c r="A86" i="17"/>
  <c r="A87" i="17"/>
  <c r="A88" i="17"/>
  <c r="A89" i="17"/>
  <c r="A90" i="17"/>
  <c r="A91" i="17"/>
  <c r="A92" i="17"/>
  <c r="A93" i="17"/>
  <c r="A94" i="17"/>
  <c r="A95" i="17"/>
  <c r="A96" i="17"/>
  <c r="A97" i="17"/>
  <c r="A98" i="17"/>
  <c r="A99" i="17"/>
  <c r="A100" i="17"/>
  <c r="A101" i="17"/>
  <c r="A102" i="17"/>
  <c r="A103" i="17"/>
  <c r="A104" i="17"/>
  <c r="A105" i="17"/>
  <c r="A106" i="17"/>
  <c r="A107" i="17"/>
  <c r="A108" i="17"/>
  <c r="A109" i="17"/>
  <c r="A110" i="17"/>
  <c r="A111" i="17"/>
  <c r="A112" i="17"/>
  <c r="A113" i="17"/>
  <c r="A114" i="17"/>
  <c r="A115" i="17"/>
  <c r="A116" i="17"/>
  <c r="A117" i="17"/>
  <c r="A118" i="17"/>
  <c r="A119" i="17"/>
  <c r="A120" i="17"/>
  <c r="A121" i="17"/>
  <c r="A122" i="17"/>
  <c r="A123" i="17"/>
  <c r="A124" i="17"/>
  <c r="A125" i="17"/>
  <c r="A126" i="17"/>
  <c r="A127" i="17"/>
  <c r="A128" i="17"/>
  <c r="A129" i="17"/>
  <c r="A130" i="17"/>
  <c r="A131" i="17"/>
  <c r="A132" i="17"/>
  <c r="A135" i="17"/>
  <c r="A136" i="17"/>
  <c r="A137" i="17"/>
  <c r="A138" i="17"/>
  <c r="A139" i="17"/>
  <c r="A140" i="17"/>
  <c r="A141" i="17"/>
  <c r="A142" i="17"/>
  <c r="A143" i="17"/>
  <c r="A144" i="17"/>
  <c r="A145" i="17"/>
  <c r="A146" i="17"/>
  <c r="A147" i="17"/>
  <c r="A148" i="17"/>
  <c r="A149" i="17"/>
  <c r="A150" i="17"/>
  <c r="A151" i="17"/>
  <c r="A152" i="17"/>
  <c r="A153" i="17"/>
  <c r="A154" i="17"/>
  <c r="A155" i="17"/>
  <c r="A156" i="17"/>
  <c r="A157" i="17"/>
  <c r="A158" i="17"/>
  <c r="A159" i="17"/>
  <c r="A160" i="17"/>
  <c r="A161" i="17"/>
  <c r="A162" i="17"/>
  <c r="A163" i="17"/>
  <c r="A164" i="17"/>
  <c r="A165" i="17"/>
  <c r="A166" i="17"/>
  <c r="A167" i="17"/>
  <c r="A168" i="17"/>
  <c r="A169" i="17"/>
  <c r="A170" i="17"/>
  <c r="A171" i="17"/>
  <c r="A172" i="17"/>
  <c r="A173" i="17"/>
  <c r="A174" i="17"/>
  <c r="A175" i="17"/>
  <c r="A176" i="17"/>
  <c r="A177" i="17"/>
  <c r="A178" i="17"/>
  <c r="A179" i="17"/>
  <c r="A180" i="17"/>
  <c r="A181" i="17"/>
  <c r="AE188" i="17" l="1"/>
  <c r="AE180" i="17"/>
  <c r="AE172" i="17"/>
  <c r="AE164" i="17"/>
  <c r="AE156" i="17"/>
  <c r="AE148" i="17"/>
  <c r="AE140" i="17"/>
  <c r="AE130" i="17"/>
  <c r="AE122" i="17"/>
  <c r="AE114" i="17"/>
  <c r="AE106" i="17"/>
  <c r="AE98" i="17"/>
  <c r="AE90" i="17"/>
  <c r="AE82" i="17"/>
  <c r="AE74" i="17"/>
  <c r="AE187" i="17"/>
  <c r="AE179" i="17"/>
  <c r="AE171" i="17"/>
  <c r="AE163" i="17"/>
  <c r="AE155" i="17"/>
  <c r="AE147" i="17"/>
  <c r="AE139" i="17"/>
  <c r="AE129" i="17"/>
  <c r="AE121" i="17"/>
  <c r="AE113" i="17"/>
  <c r="AE105" i="17"/>
  <c r="AE97" i="17"/>
  <c r="AE89" i="17"/>
  <c r="AE81" i="17"/>
  <c r="AE73" i="17"/>
  <c r="AE186" i="17"/>
  <c r="AE178" i="17"/>
  <c r="AE170" i="17"/>
  <c r="AE162" i="17"/>
  <c r="AE154" i="17"/>
  <c r="AE146" i="17"/>
  <c r="AE138" i="17"/>
  <c r="AE128" i="17"/>
  <c r="AE120" i="17"/>
  <c r="AE112" i="17"/>
  <c r="AE104" i="17"/>
  <c r="AE96" i="17"/>
  <c r="AE88" i="17"/>
  <c r="AE80" i="17"/>
  <c r="AE72" i="17"/>
  <c r="AE185" i="17"/>
  <c r="AE177" i="17"/>
  <c r="AE169" i="17"/>
  <c r="AE161" i="17"/>
  <c r="AE153" i="17"/>
  <c r="AE145" i="17"/>
  <c r="AE137" i="17"/>
  <c r="AE127" i="17"/>
  <c r="AE119" i="17"/>
  <c r="AE111" i="17"/>
  <c r="AE103" i="17"/>
  <c r="AE95" i="17"/>
  <c r="AE87" i="17"/>
  <c r="AE79" i="17"/>
  <c r="AE70" i="17"/>
  <c r="AE184" i="17"/>
  <c r="AE176" i="17"/>
  <c r="AE168" i="17"/>
  <c r="AE160" i="17"/>
  <c r="AE152" i="17"/>
  <c r="AE144" i="17"/>
  <c r="AE136" i="17"/>
  <c r="AE126" i="17"/>
  <c r="AE118" i="17"/>
  <c r="AE110" i="17"/>
  <c r="AE102" i="17"/>
  <c r="AE94" i="17"/>
  <c r="AE86" i="17"/>
  <c r="AE78" i="17"/>
  <c r="AE69" i="17"/>
  <c r="AE191" i="17"/>
  <c r="AE183" i="17"/>
  <c r="AE175" i="17"/>
  <c r="AE167" i="17"/>
  <c r="AE159" i="17"/>
  <c r="AE151" i="17"/>
  <c r="AE143" i="17"/>
  <c r="AE135" i="17"/>
  <c r="AE125" i="17"/>
  <c r="AE117" i="17"/>
  <c r="AE109" i="17"/>
  <c r="AE101" i="17"/>
  <c r="AE93" i="17"/>
  <c r="AE85" i="17"/>
  <c r="AE77" i="17"/>
  <c r="AE190" i="17"/>
  <c r="AE182" i="17"/>
  <c r="AE174" i="17"/>
  <c r="AE166" i="17"/>
  <c r="AE158" i="17"/>
  <c r="AE150" i="17"/>
  <c r="AE142" i="17"/>
  <c r="AE132" i="17"/>
  <c r="AE124" i="17"/>
  <c r="AE116" i="17"/>
  <c r="AE108" i="17"/>
  <c r="AE100" i="17"/>
  <c r="AE92" i="17"/>
  <c r="AE84" i="17"/>
  <c r="AE76" i="17"/>
  <c r="AE189" i="17"/>
  <c r="AE181" i="17"/>
  <c r="AE173" i="17"/>
  <c r="AE165" i="17"/>
  <c r="AE157" i="17"/>
  <c r="AE149" i="17"/>
  <c r="AE141" i="17"/>
  <c r="AE131" i="17"/>
  <c r="AE123" i="17"/>
  <c r="AE115" i="17"/>
  <c r="AE107" i="17"/>
  <c r="AE99" i="17"/>
  <c r="AE91" i="17"/>
  <c r="AE83" i="17"/>
  <c r="AE75" i="17"/>
  <c r="AE66" i="17"/>
  <c r="AE61" i="17"/>
  <c r="AE65" i="17"/>
  <c r="AE63" i="17"/>
  <c r="AE64" i="17"/>
  <c r="AE60" i="17"/>
  <c r="AE62" i="17"/>
  <c r="AE59" i="17"/>
  <c r="AE25" i="17"/>
  <c r="AE58" i="17"/>
  <c r="AE51" i="17"/>
  <c r="AE16" i="17"/>
  <c r="AE46" i="17"/>
  <c r="AE56" i="17"/>
  <c r="AE67" i="17"/>
  <c r="AE39" i="17"/>
  <c r="AE53" i="17"/>
  <c r="B120" i="20"/>
  <c r="B104" i="20"/>
  <c r="B31" i="20"/>
  <c r="B119" i="20"/>
  <c r="B103" i="20"/>
  <c r="B79" i="20"/>
  <c r="B63" i="20"/>
  <c r="B128" i="20"/>
  <c r="B40" i="20"/>
  <c r="B135" i="20"/>
  <c r="B95" i="20"/>
  <c r="B71" i="20"/>
  <c r="B112" i="20"/>
  <c r="B88" i="20"/>
  <c r="B64" i="20"/>
  <c r="B127" i="20"/>
  <c r="B87" i="20"/>
  <c r="B144" i="20"/>
  <c r="B145" i="20"/>
  <c r="B105" i="20"/>
  <c r="B97" i="20"/>
  <c r="B81" i="20"/>
  <c r="B65" i="20"/>
  <c r="B140" i="20"/>
  <c r="B76" i="20"/>
  <c r="B116" i="20"/>
  <c r="B92" i="20"/>
  <c r="B68" i="20"/>
  <c r="B44" i="20"/>
  <c r="B124" i="20"/>
  <c r="B60" i="20"/>
  <c r="B6" i="20"/>
  <c r="B132" i="20"/>
  <c r="B100" i="20"/>
  <c r="B52" i="20"/>
  <c r="B142" i="20"/>
  <c r="B126" i="20"/>
  <c r="B110" i="20"/>
  <c r="B102" i="20"/>
  <c r="B94" i="20"/>
  <c r="B78" i="20"/>
  <c r="B54" i="20"/>
  <c r="B46" i="20"/>
  <c r="B117" i="20"/>
  <c r="B109" i="20"/>
  <c r="B101" i="20"/>
  <c r="B85" i="20"/>
  <c r="B53" i="20"/>
  <c r="B45" i="20"/>
  <c r="B139" i="20"/>
  <c r="B107" i="20"/>
  <c r="B51" i="20"/>
  <c r="B130" i="20"/>
  <c r="B122" i="20"/>
  <c r="B114" i="20"/>
  <c r="B106" i="20"/>
  <c r="B90" i="20"/>
  <c r="B74" i="20"/>
  <c r="B66" i="20"/>
  <c r="B58" i="20"/>
  <c r="B50" i="20"/>
  <c r="B115" i="20"/>
  <c r="B43" i="20"/>
  <c r="B147" i="20"/>
  <c r="B123" i="20"/>
  <c r="B99" i="20"/>
  <c r="B59" i="20"/>
  <c r="B12" i="20"/>
  <c r="B57" i="20"/>
  <c r="B61" i="20"/>
  <c r="B55" i="20"/>
  <c r="B49" i="20"/>
  <c r="B48" i="20"/>
  <c r="B47" i="20"/>
  <c r="B39" i="20"/>
  <c r="C34" i="23"/>
  <c r="C33" i="23"/>
  <c r="C32" i="23"/>
  <c r="C31" i="23"/>
  <c r="F30" i="23"/>
  <c r="C30" i="23"/>
  <c r="F29" i="23"/>
  <c r="C29" i="23"/>
  <c r="E28" i="23"/>
  <c r="F28" i="23" s="1"/>
  <c r="C28" i="23"/>
  <c r="E27" i="23"/>
  <c r="F27" i="23" s="1"/>
  <c r="C27" i="23"/>
  <c r="E26" i="23"/>
  <c r="F26" i="23" s="1"/>
  <c r="C26" i="23"/>
  <c r="E25" i="23"/>
  <c r="F25" i="23" s="1"/>
  <c r="C25" i="23"/>
  <c r="E24" i="23"/>
  <c r="F24" i="23" s="1"/>
  <c r="C24" i="23"/>
  <c r="E23" i="23"/>
  <c r="F23" i="23" s="1"/>
  <c r="C23" i="23"/>
  <c r="E22" i="23"/>
  <c r="F22" i="23" s="1"/>
  <c r="C22" i="23"/>
  <c r="E21" i="23"/>
  <c r="F21" i="23" s="1"/>
  <c r="C21" i="23"/>
  <c r="E20" i="23"/>
  <c r="F20" i="23" s="1"/>
  <c r="C20" i="23"/>
  <c r="E19" i="23"/>
  <c r="F19" i="23" s="1"/>
  <c r="C19" i="23"/>
  <c r="E18" i="23"/>
  <c r="F18" i="23" s="1"/>
  <c r="C18" i="23"/>
  <c r="E17" i="23"/>
  <c r="F17" i="23" s="1"/>
  <c r="C17" i="23"/>
  <c r="E16" i="23"/>
  <c r="F16" i="23" s="1"/>
  <c r="C16" i="23"/>
  <c r="E15" i="23"/>
  <c r="F15" i="23" s="1"/>
  <c r="C15" i="23"/>
  <c r="E14" i="23"/>
  <c r="F14" i="23" s="1"/>
  <c r="C14" i="23"/>
  <c r="E13" i="23"/>
  <c r="F13" i="23" s="1"/>
  <c r="C13" i="23"/>
  <c r="E12" i="23"/>
  <c r="F12" i="23" s="1"/>
  <c r="C12" i="23"/>
  <c r="E11" i="23"/>
  <c r="F11" i="23" s="1"/>
  <c r="C11" i="23"/>
  <c r="E10" i="23"/>
  <c r="F10" i="23" s="1"/>
  <c r="C10" i="23"/>
  <c r="E9" i="23"/>
  <c r="F9" i="23" s="1"/>
  <c r="C9" i="23"/>
  <c r="E8" i="23"/>
  <c r="F8" i="23" s="1"/>
  <c r="C8" i="23"/>
  <c r="E7" i="23"/>
  <c r="F7" i="23" s="1"/>
  <c r="C7" i="23"/>
  <c r="E6" i="23"/>
  <c r="F6" i="23" s="1"/>
  <c r="C6" i="23"/>
  <c r="E5" i="23"/>
  <c r="F5" i="23" s="1"/>
  <c r="C5" i="23"/>
  <c r="B128" i="14"/>
  <c r="B7" i="14"/>
  <c r="C448" i="20"/>
  <c r="B448" i="20"/>
  <c r="C447" i="20"/>
  <c r="B447" i="20"/>
  <c r="C446" i="20"/>
  <c r="B446" i="20"/>
  <c r="C445" i="20"/>
  <c r="B445" i="20"/>
  <c r="C444" i="20"/>
  <c r="B444" i="20"/>
  <c r="C443" i="20"/>
  <c r="B443" i="20"/>
  <c r="C442" i="20"/>
  <c r="B442" i="20"/>
  <c r="C441" i="20"/>
  <c r="B441" i="20"/>
  <c r="C440" i="20"/>
  <c r="B440" i="20"/>
  <c r="C439" i="20"/>
  <c r="B439" i="20"/>
  <c r="C438" i="20"/>
  <c r="B438" i="20"/>
  <c r="C437" i="20"/>
  <c r="B437" i="20"/>
  <c r="C436" i="20"/>
  <c r="B436" i="20"/>
  <c r="C435" i="20"/>
  <c r="B435" i="20"/>
  <c r="C434" i="20"/>
  <c r="B434" i="20"/>
  <c r="C433" i="20"/>
  <c r="B433" i="20"/>
  <c r="C432" i="20"/>
  <c r="B432" i="20"/>
  <c r="C431" i="20"/>
  <c r="B431" i="20"/>
  <c r="C430" i="20"/>
  <c r="B430" i="20"/>
  <c r="C429" i="20"/>
  <c r="B429" i="20"/>
  <c r="C428" i="20"/>
  <c r="B428" i="20"/>
  <c r="C427" i="20"/>
  <c r="B427" i="20"/>
  <c r="C426" i="20"/>
  <c r="B426" i="20"/>
  <c r="C425" i="20"/>
  <c r="B425" i="20"/>
  <c r="C424" i="20"/>
  <c r="B424" i="20"/>
  <c r="C423" i="20"/>
  <c r="B423" i="20"/>
  <c r="C422" i="20"/>
  <c r="B422" i="20"/>
  <c r="C421" i="20"/>
  <c r="B421" i="20"/>
  <c r="C420" i="20"/>
  <c r="B420" i="20"/>
  <c r="C419" i="20"/>
  <c r="B419" i="20"/>
  <c r="C418" i="20"/>
  <c r="B418" i="20"/>
  <c r="C417" i="20"/>
  <c r="B417" i="20"/>
  <c r="C416" i="20"/>
  <c r="B416" i="20"/>
  <c r="C415" i="20"/>
  <c r="B415" i="20"/>
  <c r="C414" i="20"/>
  <c r="B414" i="20"/>
  <c r="C413" i="20"/>
  <c r="B413" i="20"/>
  <c r="C412" i="20"/>
  <c r="B412" i="20"/>
  <c r="C411" i="20"/>
  <c r="B411" i="20"/>
  <c r="C410" i="20"/>
  <c r="B410" i="20"/>
  <c r="C409" i="20"/>
  <c r="B409" i="20"/>
  <c r="C408" i="20"/>
  <c r="B408" i="20"/>
  <c r="C407" i="20"/>
  <c r="B407" i="20"/>
  <c r="C406" i="20"/>
  <c r="B406" i="20"/>
  <c r="C405" i="20"/>
  <c r="B405" i="20"/>
  <c r="C404" i="20"/>
  <c r="B404" i="20"/>
  <c r="C403" i="20"/>
  <c r="B403" i="20"/>
  <c r="C402" i="20"/>
  <c r="B402" i="20"/>
  <c r="C401" i="20"/>
  <c r="B401" i="20"/>
  <c r="C400" i="20"/>
  <c r="B400" i="20"/>
  <c r="C399" i="20"/>
  <c r="B399" i="20"/>
  <c r="C398" i="20"/>
  <c r="B398" i="20"/>
  <c r="C397" i="20"/>
  <c r="B397" i="20"/>
  <c r="C396" i="20"/>
  <c r="B396" i="20"/>
  <c r="C395" i="20"/>
  <c r="B395" i="20"/>
  <c r="C394" i="20"/>
  <c r="B394" i="20"/>
  <c r="C393" i="20"/>
  <c r="B393" i="20"/>
  <c r="C392" i="20"/>
  <c r="B392" i="20"/>
  <c r="C391" i="20"/>
  <c r="B391" i="20"/>
  <c r="C390" i="20"/>
  <c r="B390" i="20"/>
  <c r="C389" i="20"/>
  <c r="B389" i="20"/>
  <c r="C388" i="20"/>
  <c r="B388" i="20"/>
  <c r="C387" i="20"/>
  <c r="B387" i="20"/>
  <c r="C386" i="20"/>
  <c r="B386" i="20"/>
  <c r="C385" i="20"/>
  <c r="B385" i="20"/>
  <c r="C384" i="20"/>
  <c r="B384" i="20"/>
  <c r="C383" i="20"/>
  <c r="B383" i="20"/>
  <c r="C382" i="20"/>
  <c r="B382" i="20"/>
  <c r="C381" i="20"/>
  <c r="B381" i="20"/>
  <c r="C380" i="20"/>
  <c r="B380" i="20"/>
  <c r="C379" i="20"/>
  <c r="B379" i="20"/>
  <c r="C378" i="20"/>
  <c r="B378" i="20"/>
  <c r="C377" i="20"/>
  <c r="B377" i="20"/>
  <c r="C376" i="20"/>
  <c r="B376" i="20"/>
  <c r="C375" i="20"/>
  <c r="B375" i="20"/>
  <c r="C374" i="20"/>
  <c r="B374" i="20"/>
  <c r="C373" i="20"/>
  <c r="B373" i="20"/>
  <c r="C372" i="20"/>
  <c r="B372" i="20"/>
  <c r="C371" i="20"/>
  <c r="B371" i="20"/>
  <c r="C370" i="20"/>
  <c r="B370" i="20"/>
  <c r="C369" i="20"/>
  <c r="B369" i="20"/>
  <c r="C368" i="20"/>
  <c r="B368" i="20"/>
  <c r="C367" i="20"/>
  <c r="B367" i="20"/>
  <c r="C366" i="20"/>
  <c r="B366" i="20"/>
  <c r="C365" i="20"/>
  <c r="B365" i="20"/>
  <c r="C364" i="20"/>
  <c r="B364" i="20"/>
  <c r="C363" i="20"/>
  <c r="B363" i="20"/>
  <c r="C362" i="20"/>
  <c r="B362" i="20"/>
  <c r="C361" i="20"/>
  <c r="B361" i="20"/>
  <c r="C360" i="20"/>
  <c r="B360" i="20"/>
  <c r="C359" i="20"/>
  <c r="B359" i="20"/>
  <c r="C358" i="20"/>
  <c r="B358" i="20"/>
  <c r="C357" i="20"/>
  <c r="B357" i="20"/>
  <c r="C356" i="20"/>
  <c r="B356" i="20"/>
  <c r="C355" i="20"/>
  <c r="B355" i="20"/>
  <c r="C354" i="20"/>
  <c r="B354" i="20"/>
  <c r="C353" i="20"/>
  <c r="B353" i="20"/>
  <c r="C352" i="20"/>
  <c r="B352" i="20"/>
  <c r="C351" i="20"/>
  <c r="B351" i="20"/>
  <c r="C350" i="20"/>
  <c r="B350" i="20"/>
  <c r="C349" i="20"/>
  <c r="B349" i="20"/>
  <c r="C348" i="20"/>
  <c r="B348" i="20"/>
  <c r="C347" i="20"/>
  <c r="B347" i="20"/>
  <c r="C346" i="20"/>
  <c r="B346" i="20"/>
  <c r="C345" i="20"/>
  <c r="B345" i="20"/>
  <c r="C344" i="20"/>
  <c r="B344" i="20"/>
  <c r="C343" i="20"/>
  <c r="B343" i="20"/>
  <c r="C342" i="20"/>
  <c r="B342" i="20"/>
  <c r="C341" i="20"/>
  <c r="B341" i="20"/>
  <c r="C340" i="20"/>
  <c r="B340" i="20"/>
  <c r="C339" i="20"/>
  <c r="B339" i="20"/>
  <c r="C338" i="20"/>
  <c r="B338" i="20"/>
  <c r="C337" i="20"/>
  <c r="B337" i="20"/>
  <c r="C336" i="20"/>
  <c r="B336" i="20"/>
  <c r="C335" i="20"/>
  <c r="B335" i="20"/>
  <c r="C334" i="20"/>
  <c r="B334" i="20"/>
  <c r="C333" i="20"/>
  <c r="B333" i="20"/>
  <c r="C332" i="20"/>
  <c r="B332" i="20"/>
  <c r="C331" i="20"/>
  <c r="B331" i="20"/>
  <c r="C330" i="20"/>
  <c r="B330" i="20"/>
  <c r="C329" i="20"/>
  <c r="B329" i="20"/>
  <c r="C328" i="20"/>
  <c r="B328" i="20"/>
  <c r="C327" i="20"/>
  <c r="B327" i="20"/>
  <c r="C326" i="20"/>
  <c r="B326" i="20"/>
  <c r="C325" i="20"/>
  <c r="B325" i="20"/>
  <c r="C324" i="20"/>
  <c r="B324" i="20"/>
  <c r="C323" i="20"/>
  <c r="B323" i="20"/>
  <c r="C322" i="20"/>
  <c r="B322" i="20"/>
  <c r="C321" i="20"/>
  <c r="B321" i="20"/>
  <c r="C320" i="20"/>
  <c r="B320" i="20"/>
  <c r="C319" i="20"/>
  <c r="B319" i="20"/>
  <c r="C318" i="20"/>
  <c r="B318" i="20"/>
  <c r="C317" i="20"/>
  <c r="B317" i="20"/>
  <c r="C316" i="20"/>
  <c r="B316" i="20"/>
  <c r="C315" i="20"/>
  <c r="B315" i="20"/>
  <c r="C314" i="20"/>
  <c r="B314" i="20"/>
  <c r="C313" i="20"/>
  <c r="B313" i="20"/>
  <c r="C312" i="20"/>
  <c r="B312" i="20"/>
  <c r="C311" i="20"/>
  <c r="B311" i="20"/>
  <c r="C310" i="20"/>
  <c r="B310" i="20"/>
  <c r="C309" i="20"/>
  <c r="B309" i="20"/>
  <c r="C308" i="20"/>
  <c r="B308" i="20"/>
  <c r="C307" i="20"/>
  <c r="B307" i="20"/>
  <c r="C306" i="20"/>
  <c r="B306" i="20"/>
  <c r="C305" i="20"/>
  <c r="B305" i="20"/>
  <c r="C304" i="20"/>
  <c r="B304" i="20"/>
  <c r="C303" i="20"/>
  <c r="B303" i="20"/>
  <c r="C302" i="20"/>
  <c r="B302" i="20"/>
  <c r="C301" i="20"/>
  <c r="B301" i="20"/>
  <c r="C300" i="20"/>
  <c r="B300" i="20"/>
  <c r="C299" i="20"/>
  <c r="B299" i="20"/>
  <c r="C298" i="20"/>
  <c r="B298" i="20"/>
  <c r="C297" i="20"/>
  <c r="B297" i="20"/>
  <c r="C296" i="20"/>
  <c r="B296" i="20"/>
  <c r="C295" i="20"/>
  <c r="B295" i="20"/>
  <c r="C294" i="20"/>
  <c r="B294" i="20"/>
  <c r="C293" i="20"/>
  <c r="B293" i="20"/>
  <c r="C292" i="20"/>
  <c r="B292" i="20"/>
  <c r="C291" i="20"/>
  <c r="B291" i="20"/>
  <c r="C290" i="20"/>
  <c r="B290" i="20"/>
  <c r="C289" i="20"/>
  <c r="B289" i="20"/>
  <c r="C288" i="20"/>
  <c r="B288" i="20"/>
  <c r="C287" i="20"/>
  <c r="B287" i="20"/>
  <c r="C286" i="20"/>
  <c r="B286" i="20"/>
  <c r="C285" i="20"/>
  <c r="B285" i="20"/>
  <c r="C284" i="20"/>
  <c r="B284" i="20"/>
  <c r="C283" i="20"/>
  <c r="B283" i="20"/>
  <c r="C282" i="20"/>
  <c r="B282" i="20"/>
  <c r="C281" i="20"/>
  <c r="B281" i="20"/>
  <c r="C280" i="20"/>
  <c r="B280" i="20"/>
  <c r="C279" i="20"/>
  <c r="B279" i="20"/>
  <c r="C278" i="20"/>
  <c r="B278" i="20"/>
  <c r="C277" i="20"/>
  <c r="B277" i="20"/>
  <c r="C276" i="20"/>
  <c r="B276" i="20"/>
  <c r="C275" i="20"/>
  <c r="B275" i="20"/>
  <c r="C274" i="20"/>
  <c r="B274" i="20"/>
  <c r="C273" i="20"/>
  <c r="B273" i="20"/>
  <c r="C272" i="20"/>
  <c r="B272" i="20"/>
  <c r="C271" i="20"/>
  <c r="B271" i="20"/>
  <c r="C270" i="20"/>
  <c r="B270" i="20"/>
  <c r="C269" i="20"/>
  <c r="B269" i="20"/>
  <c r="C268" i="20"/>
  <c r="B268" i="20"/>
  <c r="C267" i="20"/>
  <c r="B267" i="20"/>
  <c r="C266" i="20"/>
  <c r="B266" i="20"/>
  <c r="C265" i="20"/>
  <c r="B265" i="20"/>
  <c r="C264" i="20"/>
  <c r="B264" i="20"/>
  <c r="C263" i="20"/>
  <c r="B263" i="20"/>
  <c r="C262" i="20"/>
  <c r="B262" i="20"/>
  <c r="C261" i="20"/>
  <c r="B261" i="20"/>
  <c r="C260" i="20"/>
  <c r="B260" i="20"/>
  <c r="C259" i="20"/>
  <c r="B259" i="20"/>
  <c r="C258" i="20"/>
  <c r="B258" i="20"/>
  <c r="C257" i="20"/>
  <c r="B257" i="20"/>
  <c r="C256" i="20"/>
  <c r="B256" i="20"/>
  <c r="C255" i="20"/>
  <c r="B255" i="20"/>
  <c r="C254" i="20"/>
  <c r="B254" i="20"/>
  <c r="C253" i="20"/>
  <c r="B253" i="20"/>
  <c r="C252" i="20"/>
  <c r="B252" i="20"/>
  <c r="C251" i="20"/>
  <c r="B251" i="20"/>
  <c r="C250" i="20"/>
  <c r="B250" i="20"/>
  <c r="C249" i="20"/>
  <c r="B249" i="20"/>
  <c r="C248" i="20"/>
  <c r="B248" i="20"/>
  <c r="C247" i="20"/>
  <c r="B247" i="20"/>
  <c r="C246" i="20"/>
  <c r="B246" i="20"/>
  <c r="C245" i="20"/>
  <c r="B245" i="20"/>
  <c r="C244" i="20"/>
  <c r="B244" i="20"/>
  <c r="C243" i="20"/>
  <c r="B243" i="20"/>
  <c r="C242" i="20"/>
  <c r="B242" i="20"/>
  <c r="C241" i="20"/>
  <c r="B241" i="20"/>
  <c r="C240" i="20"/>
  <c r="B240" i="20"/>
  <c r="C239" i="20"/>
  <c r="B239" i="20"/>
  <c r="C238" i="20"/>
  <c r="B238" i="20"/>
  <c r="C237" i="20"/>
  <c r="B237" i="20"/>
  <c r="C236" i="20"/>
  <c r="B236" i="20"/>
  <c r="C235" i="20"/>
  <c r="B235" i="20"/>
  <c r="C234" i="20"/>
  <c r="B234" i="20"/>
  <c r="C233" i="20"/>
  <c r="B233" i="20"/>
  <c r="C232" i="20"/>
  <c r="B232" i="20"/>
  <c r="C231" i="20"/>
  <c r="B231" i="20"/>
  <c r="C230" i="20"/>
  <c r="B230" i="20"/>
  <c r="C229" i="20"/>
  <c r="B229" i="20"/>
  <c r="C228" i="20"/>
  <c r="B228" i="20"/>
  <c r="C227" i="20"/>
  <c r="B227" i="20"/>
  <c r="C226" i="20"/>
  <c r="B226" i="20"/>
  <c r="C225" i="20"/>
  <c r="B225" i="20"/>
  <c r="C224" i="20"/>
  <c r="B224" i="20"/>
  <c r="C223" i="20"/>
  <c r="B223" i="20"/>
  <c r="C222" i="20"/>
  <c r="B222" i="20"/>
  <c r="C221" i="20"/>
  <c r="B221" i="20"/>
  <c r="C220" i="20"/>
  <c r="B220" i="20"/>
  <c r="C219" i="20"/>
  <c r="B219" i="20"/>
  <c r="C218" i="20"/>
  <c r="B218" i="20"/>
  <c r="C217" i="20"/>
  <c r="B217" i="20"/>
  <c r="C216" i="20"/>
  <c r="B216" i="20"/>
  <c r="C215" i="20"/>
  <c r="B215" i="20"/>
  <c r="C214" i="20"/>
  <c r="B214" i="20"/>
  <c r="C213" i="20"/>
  <c r="B213" i="20"/>
  <c r="C212" i="20"/>
  <c r="B212" i="20"/>
  <c r="C211" i="20"/>
  <c r="B211" i="20"/>
  <c r="C210" i="20"/>
  <c r="B210" i="20"/>
  <c r="C209" i="20"/>
  <c r="B209" i="20"/>
  <c r="C208" i="20"/>
  <c r="B208" i="20"/>
  <c r="C207" i="20"/>
  <c r="B207" i="20"/>
  <c r="C206" i="20"/>
  <c r="B206" i="20"/>
  <c r="C205" i="20"/>
  <c r="B205" i="20"/>
  <c r="C204" i="20"/>
  <c r="B204" i="20"/>
  <c r="C203" i="20"/>
  <c r="B203" i="20"/>
  <c r="C202" i="20"/>
  <c r="B202" i="20"/>
  <c r="C201" i="20"/>
  <c r="B201" i="20"/>
  <c r="C200" i="20"/>
  <c r="B200" i="20"/>
  <c r="C199" i="20"/>
  <c r="B199" i="20"/>
  <c r="C198" i="20"/>
  <c r="B198" i="20"/>
  <c r="C197" i="20"/>
  <c r="B197" i="20"/>
  <c r="C196" i="20"/>
  <c r="B196" i="20"/>
  <c r="C195" i="20"/>
  <c r="B195" i="20"/>
  <c r="C194" i="20"/>
  <c r="B194" i="20"/>
  <c r="C193" i="20"/>
  <c r="B193" i="20"/>
  <c r="C192" i="20"/>
  <c r="B192" i="20"/>
  <c r="C191" i="20"/>
  <c r="B191" i="20"/>
  <c r="C190" i="20"/>
  <c r="B190" i="20"/>
  <c r="C189" i="20"/>
  <c r="B189" i="20"/>
  <c r="C188" i="20"/>
  <c r="B188" i="20"/>
  <c r="C187" i="20"/>
  <c r="B187" i="20"/>
  <c r="C186" i="20"/>
  <c r="B186" i="20"/>
  <c r="C185" i="20"/>
  <c r="B185" i="20"/>
  <c r="C184" i="20"/>
  <c r="B184" i="20"/>
  <c r="C183" i="20"/>
  <c r="B183" i="20"/>
  <c r="C182" i="20"/>
  <c r="B182" i="20"/>
  <c r="C181" i="20"/>
  <c r="B181" i="20"/>
  <c r="C180" i="20"/>
  <c r="B180" i="20"/>
  <c r="C179" i="20"/>
  <c r="B179" i="20"/>
  <c r="C178" i="20"/>
  <c r="B178" i="20"/>
  <c r="C177" i="20"/>
  <c r="B177" i="20"/>
  <c r="C176" i="20"/>
  <c r="B176" i="20"/>
  <c r="C175" i="20"/>
  <c r="B175" i="20"/>
  <c r="C174" i="20"/>
  <c r="B174" i="20"/>
  <c r="C173" i="20"/>
  <c r="B173" i="20"/>
  <c r="C172" i="20"/>
  <c r="B172" i="20"/>
  <c r="C171" i="20"/>
  <c r="B171" i="20"/>
  <c r="C170" i="20"/>
  <c r="B170" i="20"/>
  <c r="C169" i="20"/>
  <c r="B169" i="20"/>
  <c r="C168" i="20"/>
  <c r="B168" i="20"/>
  <c r="C167" i="20"/>
  <c r="B167" i="20"/>
  <c r="C166" i="20"/>
  <c r="B166" i="20"/>
  <c r="C165" i="20"/>
  <c r="B165" i="20"/>
  <c r="C164" i="20"/>
  <c r="B164" i="20"/>
  <c r="C163" i="20"/>
  <c r="B163" i="20"/>
  <c r="C162" i="20"/>
  <c r="B162" i="20"/>
  <c r="C161" i="20"/>
  <c r="B161" i="20"/>
  <c r="C160" i="20"/>
  <c r="B160" i="20"/>
  <c r="C159" i="20"/>
  <c r="B159" i="20"/>
  <c r="C158" i="20"/>
  <c r="B158" i="20"/>
  <c r="C157" i="20"/>
  <c r="B157" i="20"/>
  <c r="C156" i="20"/>
  <c r="B156" i="20"/>
  <c r="C155" i="20"/>
  <c r="B155" i="20"/>
  <c r="C154" i="20"/>
  <c r="B154" i="20"/>
  <c r="C153" i="20"/>
  <c r="B153" i="20"/>
  <c r="C152" i="20"/>
  <c r="B152" i="20"/>
  <c r="C151" i="20"/>
  <c r="B151" i="20"/>
  <c r="C150" i="20"/>
  <c r="B150" i="20"/>
  <c r="C149" i="20"/>
  <c r="B149" i="20"/>
  <c r="C148" i="20"/>
  <c r="B148" i="20"/>
  <c r="C147" i="20"/>
  <c r="C146" i="20"/>
  <c r="B146" i="20"/>
  <c r="C145" i="20"/>
  <c r="C144" i="20"/>
  <c r="C143" i="20"/>
  <c r="B143" i="20"/>
  <c r="C142" i="20"/>
  <c r="C141" i="20"/>
  <c r="B141" i="20"/>
  <c r="C140" i="20"/>
  <c r="C139" i="20"/>
  <c r="C138" i="20"/>
  <c r="B138" i="20"/>
  <c r="C137" i="20"/>
  <c r="B137" i="20"/>
  <c r="C136" i="20"/>
  <c r="B136" i="20"/>
  <c r="C135" i="20"/>
  <c r="C134" i="20"/>
  <c r="B134" i="20"/>
  <c r="C133" i="20"/>
  <c r="B133" i="20"/>
  <c r="C132" i="20"/>
  <c r="C131" i="20"/>
  <c r="B131" i="20"/>
  <c r="C130" i="20"/>
  <c r="C129" i="20"/>
  <c r="B129" i="20"/>
  <c r="C128" i="20"/>
  <c r="C127" i="20"/>
  <c r="C126" i="20"/>
  <c r="C125" i="20"/>
  <c r="B125" i="20"/>
  <c r="C124" i="20"/>
  <c r="C123" i="20"/>
  <c r="C122" i="20"/>
  <c r="C121" i="20"/>
  <c r="B121" i="20"/>
  <c r="C120" i="20"/>
  <c r="C119" i="20"/>
  <c r="C118" i="20"/>
  <c r="B118" i="20"/>
  <c r="C117" i="20"/>
  <c r="C116" i="20"/>
  <c r="C115" i="20"/>
  <c r="C114" i="20"/>
  <c r="C113" i="20"/>
  <c r="B113" i="20"/>
  <c r="C112" i="20"/>
  <c r="C111" i="20"/>
  <c r="B111" i="20"/>
  <c r="C110" i="20"/>
  <c r="C109" i="20"/>
  <c r="C108" i="20"/>
  <c r="B108" i="20"/>
  <c r="C107" i="20"/>
  <c r="C106" i="20"/>
  <c r="C105" i="20"/>
  <c r="C104" i="20"/>
  <c r="C103" i="20"/>
  <c r="C102" i="20"/>
  <c r="C101" i="20"/>
  <c r="C100" i="20"/>
  <c r="C99" i="20"/>
  <c r="C98" i="20"/>
  <c r="B98" i="20"/>
  <c r="C97" i="20"/>
  <c r="C96" i="20"/>
  <c r="B96" i="20"/>
  <c r="C95" i="20"/>
  <c r="C94" i="20"/>
  <c r="C93" i="20"/>
  <c r="B93" i="20"/>
  <c r="C92" i="20"/>
  <c r="C91" i="20"/>
  <c r="B91" i="20"/>
  <c r="C90" i="20"/>
  <c r="C89" i="20"/>
  <c r="B89" i="20"/>
  <c r="C88" i="20"/>
  <c r="C87" i="20"/>
  <c r="C86" i="20"/>
  <c r="B86" i="20"/>
  <c r="C85" i="20"/>
  <c r="C84" i="20"/>
  <c r="B84" i="20"/>
  <c r="C83" i="20"/>
  <c r="B83" i="20"/>
  <c r="C82" i="20"/>
  <c r="B82" i="20"/>
  <c r="C81" i="20"/>
  <c r="C80" i="20"/>
  <c r="B80" i="20"/>
  <c r="C79" i="20"/>
  <c r="C78" i="20"/>
  <c r="C77" i="20"/>
  <c r="B77" i="20"/>
  <c r="C76" i="20"/>
  <c r="C75" i="20"/>
  <c r="B75" i="20"/>
  <c r="C74" i="20"/>
  <c r="C73" i="20"/>
  <c r="B73" i="20"/>
  <c r="C72" i="20"/>
  <c r="B72" i="20"/>
  <c r="C71" i="20"/>
  <c r="C70" i="20"/>
  <c r="B70" i="20"/>
  <c r="C69" i="20"/>
  <c r="B69" i="20"/>
  <c r="C68" i="20"/>
  <c r="C67" i="20"/>
  <c r="B67" i="20"/>
  <c r="C66" i="20"/>
  <c r="C65" i="20"/>
  <c r="C64" i="20"/>
  <c r="C63" i="20"/>
  <c r="C62" i="20"/>
  <c r="B62" i="20"/>
  <c r="C61" i="20"/>
  <c r="C60" i="20"/>
  <c r="C59" i="20"/>
  <c r="C58" i="20"/>
  <c r="C57" i="20"/>
  <c r="C56" i="20"/>
  <c r="C55" i="20"/>
  <c r="C54" i="20"/>
  <c r="C53" i="20"/>
  <c r="C52" i="20"/>
  <c r="C51" i="20"/>
  <c r="C50" i="20"/>
  <c r="C49" i="20"/>
  <c r="C48" i="20"/>
  <c r="C47" i="20"/>
  <c r="C46" i="20"/>
  <c r="C45" i="20"/>
  <c r="C44" i="20"/>
  <c r="C43" i="20"/>
  <c r="C42" i="20"/>
  <c r="C41" i="20"/>
  <c r="B41" i="20"/>
  <c r="C40" i="20"/>
  <c r="C39" i="20"/>
  <c r="C38" i="20"/>
  <c r="B38" i="20"/>
  <c r="C37" i="20"/>
  <c r="C36" i="20"/>
  <c r="B36" i="20"/>
  <c r="C35" i="20"/>
  <c r="C34" i="20"/>
  <c r="C33" i="20"/>
  <c r="C32" i="20"/>
  <c r="C31" i="20"/>
  <c r="C30" i="20"/>
  <c r="C29" i="20"/>
  <c r="C28" i="20"/>
  <c r="C27" i="20"/>
  <c r="C26" i="20"/>
  <c r="C25" i="20"/>
  <c r="C24" i="20"/>
  <c r="C23" i="20"/>
  <c r="C22" i="20"/>
  <c r="C21" i="20"/>
  <c r="C20" i="20"/>
  <c r="C19" i="20"/>
  <c r="C18" i="20"/>
  <c r="C17" i="20"/>
  <c r="C16" i="20"/>
  <c r="C15" i="20"/>
  <c r="C14" i="20"/>
  <c r="C13" i="20"/>
  <c r="B13" i="20"/>
  <c r="C12" i="20"/>
  <c r="C11" i="20"/>
  <c r="B11" i="20"/>
  <c r="C10" i="20"/>
  <c r="C9" i="20"/>
  <c r="C8" i="20"/>
  <c r="C7" i="20"/>
  <c r="B7" i="20"/>
  <c r="C6" i="20"/>
  <c r="C5" i="20"/>
  <c r="C4" i="20"/>
  <c r="C3" i="20"/>
  <c r="C2" i="20"/>
  <c r="B2" i="20"/>
  <c r="B5" i="20"/>
  <c r="B3" i="20"/>
  <c r="A1" i="17"/>
  <c r="B30" i="20" l="1"/>
  <c r="B16" i="20"/>
  <c r="B22" i="20"/>
  <c r="B10" i="20"/>
  <c r="B15" i="20"/>
  <c r="B14" i="20"/>
  <c r="B19" i="20"/>
  <c r="B20" i="20"/>
  <c r="B35" i="20"/>
  <c r="B33" i="20"/>
  <c r="B21" i="20"/>
  <c r="B26" i="20"/>
  <c r="B29" i="20"/>
  <c r="B25" i="20"/>
  <c r="B24" i="20"/>
  <c r="B28" i="20"/>
  <c r="B27" i="20"/>
  <c r="B32" i="20"/>
  <c r="B37" i="20"/>
  <c r="B23" i="20"/>
  <c r="B56" i="20"/>
  <c r="B42" i="20"/>
  <c r="B18" i="20"/>
  <c r="B34" i="20"/>
  <c r="B17" i="20"/>
  <c r="B8" i="20"/>
  <c r="B9" i="20"/>
  <c r="B4" i="20"/>
</calcChain>
</file>

<file path=xl/comments1.xml><?xml version="1.0" encoding="utf-8"?>
<comments xmlns="http://schemas.openxmlformats.org/spreadsheetml/2006/main">
  <authors>
    <author>Michael S. Jones</author>
  </authors>
  <commentList>
    <comment ref="A1" authorId="0" shapeId="0">
      <text>
        <r>
          <rPr>
            <b/>
            <sz val="9"/>
            <color indexed="81"/>
            <rFont val="Tahoma"/>
            <family val="2"/>
          </rPr>
          <t xml:space="preserve">
TEMPLATE LOCATION: Z:\Z_CLIENTNAME\SUBS\Z_SUB\Z_PROJNAME\DESIGNDATA\PROJECT STATUS
(Old file location Y:\Substation Standards\General\Drawing List)
3/3/17 Version 5.2
Corrected VBA code for ACAD version - default to 2016
Other minor bug corrective actions.
2/7/17 Version 5.1
</t>
        </r>
        <r>
          <rPr>
            <sz val="9"/>
            <color indexed="81"/>
            <rFont val="Tahoma"/>
            <family val="2"/>
          </rPr>
          <t xml:space="preserve">Corrected VBA code for the index function
Module Name: mdl_EDEsort
</t>
        </r>
        <r>
          <rPr>
            <b/>
            <sz val="9"/>
            <color indexed="81"/>
            <rFont val="Tahoma"/>
            <family val="2"/>
          </rPr>
          <t>1/3/17 Version 5.0!</t>
        </r>
        <r>
          <rPr>
            <sz val="9"/>
            <color indexed="81"/>
            <rFont val="Tahoma"/>
            <family val="2"/>
          </rPr>
          <t xml:space="preserve">
Corrected problem with the comment validation table which didn't allow new rows to be inserted programatically between rows 6 thru 8. Moved the validation text to the data worksheet.
Added additional error validation to the right-click sub-routine
</t>
        </r>
        <r>
          <rPr>
            <b/>
            <sz val="9"/>
            <color indexed="81"/>
            <rFont val="Tahoma"/>
            <family val="2"/>
          </rPr>
          <t xml:space="preserve">
10/25/16 Version 4.8</t>
        </r>
        <r>
          <rPr>
            <sz val="9"/>
            <color indexed="81"/>
            <rFont val="Tahoma"/>
            <family val="2"/>
          </rPr>
          <t xml:space="preserve">
Added revision control format to the ftitle sheet row
</t>
        </r>
        <r>
          <rPr>
            <b/>
            <sz val="9"/>
            <color indexed="81"/>
            <rFont val="Tahoma"/>
            <family val="2"/>
          </rPr>
          <t>7/20/16 Version 4.6</t>
        </r>
        <r>
          <rPr>
            <sz val="9"/>
            <color indexed="81"/>
            <rFont val="Tahoma"/>
            <family val="2"/>
          </rPr>
          <t xml:space="preserve">
Updated screen input formatting.
</t>
        </r>
        <r>
          <rPr>
            <b/>
            <sz val="9"/>
            <color indexed="81"/>
            <rFont val="Tahoma"/>
            <family val="2"/>
          </rPr>
          <t>3/25/16 Version 4.5</t>
        </r>
        <r>
          <rPr>
            <sz val="9"/>
            <color indexed="81"/>
            <rFont val="Tahoma"/>
            <family val="2"/>
          </rPr>
          <t xml:space="preserve">
Updated the error trapping of missing references
Added multiple row insert function/routine
</t>
        </r>
        <r>
          <rPr>
            <b/>
            <sz val="9"/>
            <color indexed="81"/>
            <rFont val="Tahoma"/>
            <family val="2"/>
          </rPr>
          <t>2/25/16 Version 4.4</t>
        </r>
        <r>
          <rPr>
            <sz val="9"/>
            <color indexed="81"/>
            <rFont val="Tahoma"/>
            <family val="2"/>
          </rPr>
          <t xml:space="preserve">
Repaired errors in template due to crash
Corrected and repaired - thanks to the Relay guys! 
</t>
        </r>
        <r>
          <rPr>
            <b/>
            <sz val="9"/>
            <color indexed="81"/>
            <rFont val="Tahoma"/>
            <family val="2"/>
          </rPr>
          <t xml:space="preserve">2/22/16 Version 4.3 </t>
        </r>
        <r>
          <rPr>
            <sz val="9"/>
            <color indexed="81"/>
            <rFont val="Tahoma"/>
            <family val="2"/>
          </rPr>
          <t xml:space="preserve">
added error trapping to transmittal module
</t>
        </r>
        <r>
          <rPr>
            <b/>
            <sz val="9"/>
            <color indexed="81"/>
            <rFont val="Tahoma"/>
            <family val="2"/>
          </rPr>
          <t>1/28/16 Version 4.2</t>
        </r>
        <r>
          <rPr>
            <sz val="9"/>
            <color indexed="81"/>
            <rFont val="Tahoma"/>
            <family val="2"/>
          </rPr>
          <t xml:space="preserve">
Cleaned up how the program exited out of creating a new drawing if acad was already open.  No longer try to close acad if it was open at the start.
</t>
        </r>
        <r>
          <rPr>
            <b/>
            <sz val="9"/>
            <color indexed="81"/>
            <rFont val="Tahoma"/>
            <family val="2"/>
          </rPr>
          <t>1/12/16 Version 4.10</t>
        </r>
        <r>
          <rPr>
            <sz val="9"/>
            <color indexed="81"/>
            <rFont val="Tahoma"/>
            <family val="2"/>
          </rPr>
          <t xml:space="preserve">
Added EDE mode - which adds categories similar to thre Relay DPT and also creates a tertiary table which has the drawings sorted by drawing number with the actual sheet number.
</t>
        </r>
        <r>
          <rPr>
            <b/>
            <sz val="9"/>
            <color indexed="81"/>
            <rFont val="Tahoma"/>
            <family val="2"/>
          </rPr>
          <t>12/15/15 Version 4.05</t>
        </r>
        <r>
          <rPr>
            <sz val="9"/>
            <color indexed="81"/>
            <rFont val="Tahoma"/>
            <family val="2"/>
          </rPr>
          <t xml:space="preserve">
Streamlining the relay table creation and update process - one subroutine used for both initial creation and for any updates.
</t>
        </r>
        <r>
          <rPr>
            <b/>
            <sz val="9"/>
            <color indexed="81"/>
            <rFont val="Tahoma"/>
            <family val="2"/>
          </rPr>
          <t>12/2/15 Version 4.0</t>
        </r>
        <r>
          <rPr>
            <sz val="9"/>
            <color indexed="81"/>
            <rFont val="Tahoma"/>
            <family val="2"/>
          </rPr>
          <t xml:space="preserve">
Revised how the Relay workbook is updated 
Delete the existing table from dwg and recreate with the same settings
Need to look into 
</t>
        </r>
        <r>
          <rPr>
            <b/>
            <sz val="9"/>
            <color indexed="81"/>
            <rFont val="Tahoma"/>
            <family val="2"/>
          </rPr>
          <t>9/19/15 Version 3.5</t>
        </r>
        <r>
          <rPr>
            <sz val="9"/>
            <color indexed="81"/>
            <rFont val="Tahoma"/>
            <family val="2"/>
          </rPr>
          <t xml:space="preserve">
Added RT prefix to relay transmittal
</t>
        </r>
        <r>
          <rPr>
            <b/>
            <sz val="9"/>
            <color indexed="81"/>
            <rFont val="Tahoma"/>
            <family val="2"/>
          </rPr>
          <t>5/28/15 Version 3.1</t>
        </r>
        <r>
          <rPr>
            <sz val="9"/>
            <color indexed="81"/>
            <rFont val="Tahoma"/>
            <family val="2"/>
          </rPr>
          <t xml:space="preserve">
Revised pdf file save to minimize the chance of error
</t>
        </r>
        <r>
          <rPr>
            <b/>
            <sz val="9"/>
            <color indexed="81"/>
            <rFont val="Tahoma"/>
            <family val="2"/>
          </rPr>
          <t>5/21/15 Version 3.0</t>
        </r>
        <r>
          <rPr>
            <sz val="9"/>
            <color indexed="81"/>
            <rFont val="Tahoma"/>
            <family val="2"/>
          </rPr>
          <t xml:space="preserve">
Updated the template formatting to row 523
Released to the public at large
</t>
        </r>
        <r>
          <rPr>
            <b/>
            <sz val="9"/>
            <color indexed="81"/>
            <rFont val="Tahoma"/>
            <family val="2"/>
          </rPr>
          <t xml:space="preserve">2/3/15 Version 2.0
</t>
        </r>
        <r>
          <rPr>
            <sz val="9"/>
            <color indexed="81"/>
            <rFont val="Tahoma"/>
            <family val="2"/>
          </rPr>
          <t xml:space="preserve">Revised Verion Number 1.4 to 2.0 to reflect the new year.
</t>
        </r>
        <r>
          <rPr>
            <b/>
            <sz val="9"/>
            <color indexed="81"/>
            <rFont val="Tahoma"/>
            <family val="2"/>
          </rPr>
          <t>1/22/15 Version 1.4</t>
        </r>
        <r>
          <rPr>
            <sz val="9"/>
            <color indexed="81"/>
            <rFont val="Tahoma"/>
            <family val="2"/>
          </rPr>
          <t xml:space="preserve">
Created a unified transmittal format
Added combo box for shipping
Added ability to select folder for PDF transmittals
Updated the insert row function to work correctly
</t>
        </r>
        <r>
          <rPr>
            <b/>
            <sz val="9"/>
            <color indexed="81"/>
            <rFont val="Tahoma"/>
            <family val="2"/>
          </rPr>
          <t>12/22/14</t>
        </r>
        <r>
          <rPr>
            <sz val="9"/>
            <color indexed="81"/>
            <rFont val="Tahoma"/>
            <family val="2"/>
          </rPr>
          <t xml:space="preserve"> 
Revised transmisttal formatting</t>
        </r>
        <r>
          <rPr>
            <b/>
            <sz val="9"/>
            <color indexed="81"/>
            <rFont val="Tahoma"/>
            <family val="2"/>
          </rPr>
          <t xml:space="preserve">
11/7/14 V1.2.3
</t>
        </r>
        <r>
          <rPr>
            <sz val="9"/>
            <color indexed="81"/>
            <rFont val="Tahoma"/>
            <family val="2"/>
          </rPr>
          <t>Corrected problems with how the table was saved to an existing drawing (Substation Module)</t>
        </r>
        <r>
          <rPr>
            <b/>
            <sz val="9"/>
            <color indexed="81"/>
            <rFont val="Tahoma"/>
            <family val="2"/>
          </rPr>
          <t xml:space="preserve">
8/29/14 V1.2.1
</t>
        </r>
        <r>
          <rPr>
            <sz val="9"/>
            <color indexed="81"/>
            <rFont val="Tahoma"/>
            <family val="2"/>
          </rPr>
          <t xml:space="preserve">Allow the sub table to be added to an existing dwg file
Error checking for unloaded Acad references.
</t>
        </r>
        <r>
          <rPr>
            <b/>
            <sz val="9"/>
            <color indexed="81"/>
            <rFont val="Tahoma"/>
            <family val="2"/>
          </rPr>
          <t xml:space="preserve">
7/22/14 V1.2
</t>
        </r>
        <r>
          <rPr>
            <sz val="9"/>
            <color indexed="81"/>
            <rFont val="Tahoma"/>
            <family val="2"/>
          </rPr>
          <t xml:space="preserve">Revised how the drawing list was sent to the MS Word file.  Formatted the text to match how it should be when implemented into the contract.
Corrected various "bugs" in several modules.
</t>
        </r>
        <r>
          <rPr>
            <b/>
            <sz val="9"/>
            <color indexed="81"/>
            <rFont val="Tahoma"/>
            <family val="2"/>
          </rPr>
          <t xml:space="preserve">7/14/14 V1.1 
</t>
        </r>
        <r>
          <rPr>
            <sz val="9"/>
            <color indexed="81"/>
            <rFont val="Tahoma"/>
            <family val="2"/>
          </rPr>
          <t>Added custom number formatting to column 'C'.
Added 'dwg_list' to the end of the MS Word doc file created for the contract.</t>
        </r>
        <r>
          <rPr>
            <b/>
            <sz val="9"/>
            <color indexed="81"/>
            <rFont val="Tahoma"/>
            <family val="2"/>
          </rPr>
          <t xml:space="preserve">
6/17/14 V1.0 Released for public use.
5/28/14 RC10 - Added check for existing table for the relay dept and allowed updates to acad table to be pushed out to acad
</t>
        </r>
        <r>
          <rPr>
            <sz val="9"/>
            <color indexed="81"/>
            <rFont val="Tahoma"/>
            <family val="2"/>
          </rPr>
          <t>5/16/14 RC9 - Revised relay dept transmittal - added code to chk if acad is already running
3/31/14 RC7 - Added a Relay tab to create the index sheet and define the sub categories
3/12/14 RC6 - Removed system dialog box and replaced with built-in file dialog
3/10/14 RC5 Placed in project folder  - (Not placed)</t>
        </r>
        <r>
          <rPr>
            <b/>
            <sz val="9"/>
            <color indexed="81"/>
            <rFont val="Tahoma"/>
            <family val="2"/>
          </rPr>
          <t xml:space="preserve">
</t>
        </r>
        <r>
          <rPr>
            <sz val="9"/>
            <color indexed="81"/>
            <rFont val="Tahoma"/>
            <family val="2"/>
          </rPr>
          <t xml:space="preserve">
</t>
        </r>
        <r>
          <rPr>
            <b/>
            <sz val="9"/>
            <color indexed="81"/>
            <rFont val="Tahoma"/>
            <family val="2"/>
          </rPr>
          <t>Project Folder:</t>
        </r>
        <r>
          <rPr>
            <sz val="9"/>
            <color indexed="81"/>
            <rFont val="Tahoma"/>
            <family val="2"/>
          </rPr>
          <t xml:space="preserve">
Z:\Z_CLIENTNAME\SUBS\_Z_SUB\Z_PROJNAME\DESIGNDATA\PROJECT STATUS</t>
        </r>
        <r>
          <rPr>
            <b/>
            <sz val="9"/>
            <color indexed="81"/>
            <rFont val="Tahoma"/>
            <family val="2"/>
          </rPr>
          <t xml:space="preserve">
</t>
        </r>
      </text>
    </comment>
    <comment ref="F5" authorId="0" shapeId="0">
      <text>
        <r>
          <rPr>
            <sz val="9"/>
            <color indexed="81"/>
            <rFont val="Tahoma"/>
            <family val="2"/>
          </rPr>
          <t xml:space="preserve">F or f designates inclusion only on the drawing list.
* designates For Reference Only
</t>
        </r>
      </text>
    </comment>
  </commentList>
</comments>
</file>

<file path=xl/sharedStrings.xml><?xml version="1.0" encoding="utf-8"?>
<sst xmlns="http://schemas.openxmlformats.org/spreadsheetml/2006/main" count="1563" uniqueCount="978">
  <si>
    <t>DRAWING NO</t>
  </si>
  <si>
    <t>REV</t>
  </si>
  <si>
    <t>PRELIM</t>
  </si>
  <si>
    <t>PRELIM/REF</t>
  </si>
  <si>
    <t>FROM:</t>
  </si>
  <si>
    <t>ALLGEIER, MARTIN and ASSOCIATES, INC.</t>
  </si>
  <si>
    <t>PROJECT:</t>
  </si>
  <si>
    <t>7231 EAST 24TH STREET, JOPLIN, MO 64804</t>
  </si>
  <si>
    <t>P.O. BOX 2627, JOPLIN, MO 64803-2627</t>
  </si>
  <si>
    <t>BY:</t>
  </si>
  <si>
    <t>TEL: 417-680-7200</t>
  </si>
  <si>
    <t>FAX: 417-680-7300</t>
  </si>
  <si>
    <t>DATE:</t>
  </si>
  <si>
    <t>QUANTITY</t>
  </si>
  <si>
    <t>TO:</t>
  </si>
  <si>
    <t>A</t>
  </si>
  <si>
    <t>B</t>
  </si>
  <si>
    <t>C</t>
  </si>
  <si>
    <t>D</t>
  </si>
  <si>
    <t>E</t>
  </si>
  <si>
    <t>F</t>
  </si>
  <si>
    <t>G</t>
  </si>
  <si>
    <t>H</t>
  </si>
  <si>
    <t>TRANSMITTAL NOTES:</t>
  </si>
  <si>
    <t>SIZE CODE:</t>
  </si>
  <si>
    <t>TYPE CODE:</t>
  </si>
  <si>
    <t>TRANSMITTAL SET SIZE &amp; TYPE</t>
  </si>
  <si>
    <t>A = 8 1/2 x 11</t>
  </si>
  <si>
    <t>BP = BOND PRINT</t>
  </si>
  <si>
    <t xml:space="preserve"> Size          Type</t>
  </si>
  <si>
    <t>B = 11x17</t>
  </si>
  <si>
    <t>CD = CD-R</t>
  </si>
  <si>
    <t>(A)</t>
  </si>
  <si>
    <t>(E)</t>
  </si>
  <si>
    <t>C = 17 x 22</t>
  </si>
  <si>
    <t>(B)</t>
  </si>
  <si>
    <t>(F)</t>
  </si>
  <si>
    <t>D = 22 x 34</t>
  </si>
  <si>
    <t>(C)</t>
  </si>
  <si>
    <t>(G)</t>
  </si>
  <si>
    <t>EM = E-MAIL</t>
  </si>
  <si>
    <t>(D)</t>
  </si>
  <si>
    <t>(H)</t>
  </si>
  <si>
    <t>X = 650 MB / 74 MIN.</t>
  </si>
  <si>
    <t>LINE</t>
  </si>
  <si>
    <t>DESCRIPTION</t>
  </si>
  <si>
    <t>DWG. NO.</t>
  </si>
  <si>
    <t>Drawing Number</t>
  </si>
  <si>
    <t>Drawing Title</t>
  </si>
  <si>
    <t>INDIVIDUAL NAME</t>
  </si>
  <si>
    <t>DONE</t>
  </si>
  <si>
    <t>IN DRAFTING</t>
  </si>
  <si>
    <t>CHECK</t>
  </si>
  <si>
    <t>NEED SEAL</t>
  </si>
  <si>
    <t>NOT THIS SET</t>
  </si>
  <si>
    <t>STAGES/STATUS</t>
  </si>
  <si>
    <t>NOT STARTED</t>
  </si>
  <si>
    <t>DESIGN</t>
  </si>
  <si>
    <t>Index</t>
  </si>
  <si>
    <t>Original
 (At Job Start)</t>
  </si>
  <si>
    <t xml:space="preserve"> </t>
  </si>
  <si>
    <t>Transmittal-Original (At J-copy</t>
  </si>
  <si>
    <t>Project Title</t>
  </si>
  <si>
    <t>Client</t>
  </si>
  <si>
    <t>Month Day, Year</t>
  </si>
  <si>
    <t>proj mgr email</t>
  </si>
  <si>
    <t>Dwg No. delimiter</t>
  </si>
  <si>
    <t>Dwg No. Prefix</t>
  </si>
  <si>
    <t>f</t>
  </si>
  <si>
    <t>*/F</t>
  </si>
  <si>
    <t xml:space="preserve">DRAWING TITLE </t>
  </si>
  <si>
    <t>Station</t>
  </si>
  <si>
    <r>
      <t>AM</t>
    </r>
    <r>
      <rPr>
        <b/>
        <sz val="22"/>
        <rFont val="Arial"/>
        <family val="2"/>
      </rPr>
      <t>DWG:list</t>
    </r>
  </si>
  <si>
    <t>SUBS\Z_SUB\Z_PROJNAME\DESIGNDATA\PROJECT STATUS</t>
  </si>
  <si>
    <t>Z:\GT COOP\</t>
  </si>
  <si>
    <t>AR32-KAMO\</t>
  </si>
  <si>
    <t>AR34-AECC-Arkansas Electric\</t>
  </si>
  <si>
    <t>IL50-SIPC-Southern Illinois\</t>
  </si>
  <si>
    <t>IL53-SPCI-Soyland\</t>
  </si>
  <si>
    <t>MO59-SMP-ShoMe\</t>
  </si>
  <si>
    <t>MO60-M&amp;A\</t>
  </si>
  <si>
    <t>MO70-NEMPC-Northeast MO\</t>
  </si>
  <si>
    <t>MO72-NWEPC-NW\</t>
  </si>
  <si>
    <t>MO73-AECI-Associated\</t>
  </si>
  <si>
    <t>TX148-STEC-South Texas\</t>
  </si>
  <si>
    <t>Z_CLIENTNAME</t>
  </si>
  <si>
    <t>Z:\DIST COOP\</t>
  </si>
  <si>
    <t>AR13-AVECC-ARKANSAS VALLEY\</t>
  </si>
  <si>
    <t>AR18-CECC-CARROLL\</t>
  </si>
  <si>
    <t>AR24-OECC-OZARKS\</t>
  </si>
  <si>
    <t>AR26-NAEC-NORTH ARKANSAS\</t>
  </si>
  <si>
    <t>Z_CLIENTNAME\</t>
  </si>
  <si>
    <t>Z:\MUNICIPAL\</t>
  </si>
  <si>
    <t>CWEP-CARTHAGE MO\</t>
  </si>
  <si>
    <t>KIRKWOOD MO\</t>
  </si>
  <si>
    <t>CAMERON MO\</t>
  </si>
  <si>
    <t>CU-SPRINGFIELD MO\</t>
  </si>
  <si>
    <t>CLIENT TYPE</t>
  </si>
  <si>
    <t>CLIENT</t>
  </si>
  <si>
    <t>PROJECT PATH</t>
  </si>
  <si>
    <t>&lt;Selection from combobox</t>
  </si>
  <si>
    <t>D:\</t>
  </si>
  <si>
    <t>dropbox\</t>
  </si>
  <si>
    <t>AMCE Work Folders\Substation Transmittal</t>
  </si>
  <si>
    <t>COMMENTS</t>
  </si>
  <si>
    <t>CATEGORY</t>
  </si>
  <si>
    <t>a</t>
  </si>
  <si>
    <t>b</t>
  </si>
  <si>
    <t>c</t>
  </si>
  <si>
    <t>d</t>
  </si>
  <si>
    <t>e</t>
  </si>
  <si>
    <t>g</t>
  </si>
  <si>
    <t>h</t>
  </si>
  <si>
    <t>i</t>
  </si>
  <si>
    <t>j</t>
  </si>
  <si>
    <t>k</t>
  </si>
  <si>
    <t>MO-72</t>
  </si>
  <si>
    <t>MO-60</t>
  </si>
  <si>
    <t>AR-32</t>
  </si>
  <si>
    <t>OTHER</t>
  </si>
  <si>
    <t>l</t>
  </si>
  <si>
    <t>m</t>
  </si>
  <si>
    <t>n</t>
  </si>
  <si>
    <t>o</t>
  </si>
  <si>
    <t>MO-60 a</t>
  </si>
  <si>
    <t>MO-60 b</t>
  </si>
  <si>
    <t>MO-60 c</t>
  </si>
  <si>
    <t>MO-60 d</t>
  </si>
  <si>
    <t>MO-60 e</t>
  </si>
  <si>
    <t>MO-60 f</t>
  </si>
  <si>
    <t>MO-60 g</t>
  </si>
  <si>
    <t>MO-60 h</t>
  </si>
  <si>
    <t>MO-60 i</t>
  </si>
  <si>
    <t>MO-60 j</t>
  </si>
  <si>
    <t>MO-60 k</t>
  </si>
  <si>
    <t>MO-60 l</t>
  </si>
  <si>
    <t>MO-60 m</t>
  </si>
  <si>
    <t>MO-60 n</t>
  </si>
  <si>
    <t>MO-60 o</t>
  </si>
  <si>
    <t xml:space="preserve">CATEGORY </t>
  </si>
  <si>
    <t>AR-32 a</t>
  </si>
  <si>
    <t>DPT FLAG</t>
  </si>
  <si>
    <r>
      <t>7231 E. 24</t>
    </r>
    <r>
      <rPr>
        <vertAlign val="superscript"/>
        <sz val="8"/>
        <rFont val="Times New Roman"/>
        <family val="1"/>
      </rPr>
      <t>th</t>
    </r>
    <r>
      <rPr>
        <sz val="8"/>
        <rFont val="Times New Roman"/>
        <family val="1"/>
      </rPr>
      <t xml:space="preserve"> ST. JOPLIN, MO 64804</t>
    </r>
  </si>
  <si>
    <t>*DATE</t>
  </si>
  <si>
    <t>DRAWINGS SENT TO:                                                              VIA:</t>
  </si>
  <si>
    <t xml:space="preserve">XX Electric - </t>
  </si>
  <si>
    <t>Allgeier Martin File Set (not sent)</t>
  </si>
  <si>
    <t xml:space="preserve">TRANSMITTAL SET SIZE &amp; TYPE </t>
  </si>
  <si>
    <t>XP = XEROX PRINT</t>
  </si>
  <si>
    <t>Size</t>
  </si>
  <si>
    <t>Type</t>
  </si>
  <si>
    <t>B = 11 x 17</t>
  </si>
  <si>
    <t>CP = COLOR PRINT</t>
  </si>
  <si>
    <t>PDF = PDF FILE</t>
  </si>
  <si>
    <t>D = 24 x 36</t>
  </si>
  <si>
    <t>DWG = DWG FILE</t>
  </si>
  <si>
    <t>E = 22 x 34</t>
  </si>
  <si>
    <t>DWF = DWF FILE</t>
  </si>
  <si>
    <t>FTP = FTP SITE</t>
  </si>
  <si>
    <t>DWG.</t>
  </si>
  <si>
    <t>REV.</t>
  </si>
  <si>
    <t>TITLE SHEET</t>
  </si>
  <si>
    <t>value doesn't matter</t>
  </si>
  <si>
    <t>readOnlyTestRange_@</t>
  </si>
  <si>
    <t>readOnlyTestRange_0</t>
  </si>
  <si>
    <t>readOnlyTestRange_M/d/yy h:mm AM/PM</t>
  </si>
  <si>
    <t>readOnlyTestRange_General</t>
  </si>
  <si>
    <t>readOnlyTestRange_M/d/yyyy h:mm AM/PM</t>
  </si>
  <si>
    <t>Table Handle</t>
  </si>
  <si>
    <t>proj mgrname</t>
  </si>
  <si>
    <t>Total Categories</t>
  </si>
  <si>
    <t>Number of dwgs</t>
  </si>
  <si>
    <t>Total # of rows</t>
  </si>
  <si>
    <t>Flag for content change</t>
  </si>
  <si>
    <t>*</t>
  </si>
  <si>
    <t xml:space="preserve">R </t>
  </si>
  <si>
    <t>Status Message</t>
  </si>
  <si>
    <t>Header Text</t>
  </si>
  <si>
    <t>Data Text</t>
  </si>
  <si>
    <t>Category Text</t>
  </si>
  <si>
    <t>Acad Dwg Name</t>
  </si>
  <si>
    <t>Reference name</t>
  </si>
  <si>
    <t>Full path to reference</t>
  </si>
  <si>
    <t>Reference GUID</t>
  </si>
  <si>
    <t>VBA</t>
  </si>
  <si>
    <t>C:\PROGRA~2\COMMON~1\MICROS~1\VBA\VBA7\VBE7.DLL</t>
  </si>
  <si>
    <t>{000204EF-0000-0000-C000-000000000046}</t>
  </si>
  <si>
    <t>Excel</t>
  </si>
  <si>
    <t>C:\Program Files (x86)\Microsoft Office\Office14\EXCEL.EXE</t>
  </si>
  <si>
    <t>{00020813-0000-0000-C000-000000000046}</t>
  </si>
  <si>
    <t>stdole</t>
  </si>
  <si>
    <t>C:\Windows\SysWOW64\stdole2.tlb</t>
  </si>
  <si>
    <t>{00020430-0000-0000-C000-000000000046}</t>
  </si>
  <si>
    <t>Office</t>
  </si>
  <si>
    <t>C:\Program Files (x86)\Common Files\Microsoft Shared\OFFICE14\MSO.DLL</t>
  </si>
  <si>
    <t>{2DF8D04C-5BFA-101B-BDE5-00AA0044DE52}</t>
  </si>
  <si>
    <t>MSForms</t>
  </si>
  <si>
    <t>C:\Windows\SysWOW64\FM20.DLL</t>
  </si>
  <si>
    <t>{0D452EE1-E08F-101A-852E-02608C4D0BB4}</t>
  </si>
  <si>
    <t>IWshRuntimeLibrary</t>
  </si>
  <si>
    <t>C:\Windows\SysWOW64\wshom.ocx</t>
  </si>
  <si>
    <t>{F935DC20-1CF0-11D0-ADB9-00C04FD58A0B}</t>
  </si>
  <si>
    <t>Aec32BitAppServer</t>
  </si>
  <si>
    <t>C:\Program Files (x86)\Common Files\Autodesk Shared\Aec32BitAppServer57.tlb</t>
  </si>
  <si>
    <t>{E8540E22-D20E-483F-9FD5-A5A3553A7556}</t>
  </si>
  <si>
    <t>ACFOCUSCTRLLib</t>
  </si>
  <si>
    <t>C:\Program Files\Common Files\Autodesk Shared\AcFocusCtrl16.dll</t>
  </si>
  <si>
    <t>{FC0C6DFB-96E9-4520-B0D2-993650F89DD4}</t>
  </si>
  <si>
    <t>Word</t>
  </si>
  <si>
    <t>C:\Program Files (x86)\Microsoft Office\Office14\MSWORD.OLB</t>
  </si>
  <si>
    <t>{00020905-0000-0000-C000-000000000046}</t>
  </si>
  <si>
    <t>RefEdit</t>
  </si>
  <si>
    <t>C:\Program Files (x86)\Microsoft Office\Office14\REFEDIT.DLL</t>
  </si>
  <si>
    <t>{00024517-0000-0000-C000-000000000046}</t>
  </si>
  <si>
    <t>MSComctlLib</t>
  </si>
  <si>
    <t>C:\Windows\SysWOW64\MSCOMCTL.OCX</t>
  </si>
  <si>
    <t>{831FDD16-0C5C-11D2-A9FC-0000F8754DA1}</t>
  </si>
  <si>
    <t>INKEDLib</t>
  </si>
  <si>
    <t>{8405D0DF-9FDD-4829-AEAD-8E2B0A18FEA4}</t>
  </si>
  <si>
    <t>Scripting</t>
  </si>
  <si>
    <t>C:\Windows\SysWOW64\scrrun.dll</t>
  </si>
  <si>
    <t>{420B2830-E718-11CF-893D-00A0C9054228}</t>
  </si>
  <si>
    <t>VBIDE</t>
  </si>
  <si>
    <t>C:\Program Files (x86)\Common Files\Microsoft Shared\VBA\VBA6\VBE6EXT.OLB</t>
  </si>
  <si>
    <t>{0002E157-0000-0000-C000-000000000046}</t>
  </si>
  <si>
    <t>AutoCAD</t>
  </si>
  <si>
    <t>FEDEX GROUND</t>
  </si>
  <si>
    <t>PD = PDF FILE</t>
  </si>
  <si>
    <t>DWG. REV.</t>
  </si>
  <si>
    <t>EM</t>
  </si>
  <si>
    <t>X</t>
  </si>
  <si>
    <t>BP</t>
  </si>
  <si>
    <t>CD</t>
  </si>
  <si>
    <t>PD</t>
  </si>
  <si>
    <r>
      <t>7231 E. 24</t>
    </r>
    <r>
      <rPr>
        <vertAlign val="superscript"/>
        <sz val="10"/>
        <rFont val="Calibri"/>
        <family val="2"/>
        <scheme val="minor"/>
      </rPr>
      <t>th</t>
    </r>
    <r>
      <rPr>
        <sz val="10"/>
        <rFont val="Calibri"/>
        <family val="2"/>
        <scheme val="minor"/>
      </rPr>
      <t xml:space="preserve"> ST. JOPLIN, MO 64804</t>
    </r>
  </si>
  <si>
    <t>Preliminary</t>
  </si>
  <si>
    <t>BW = BLACK &amp; WHITE PRINT</t>
  </si>
  <si>
    <t>SET DETAIL</t>
  </si>
  <si>
    <t>BW</t>
  </si>
  <si>
    <t>DWG &amp; PDF</t>
  </si>
  <si>
    <t>TYPE</t>
  </si>
  <si>
    <t>VIA:</t>
  </si>
  <si>
    <t>SIZE/FORMAT</t>
  </si>
  <si>
    <t>SIZE/FORMAT:</t>
  </si>
  <si>
    <t>N.W. Electric Power Cooperative, Inc. (Lance Williams)</t>
  </si>
  <si>
    <t>D(A) = 24 x 36</t>
  </si>
  <si>
    <t>E = 34 x 44</t>
  </si>
  <si>
    <t xml:space="preserve">Final record of multimeter addition and SCADA upgrade per N.W. marks.  Full relay sets provided for ease of replacement.  SMS-25 is provided loose, to be added to station set.  Full relay sets provided for ease of replacement.  SMS-25 is provided loose, to be added to station set.    Full relay sets provided for ease of replacement.  SMS-25 is provided loose, to be added to station set.  </t>
  </si>
  <si>
    <t>DVD = DVD-R</t>
  </si>
  <si>
    <t>TITLE SHEET - SUMMERSET 69kV BREAKER STATION RELAYING</t>
  </si>
  <si>
    <t>SMS-RLY-TSH</t>
  </si>
  <si>
    <t>ONE LINE DIAGRAM</t>
  </si>
  <si>
    <t>SMS-1</t>
  </si>
  <si>
    <t>CONDUIT &amp; CABLE SCHEDULES</t>
  </si>
  <si>
    <t>SMS-25</t>
  </si>
  <si>
    <t>RELAY PANEL 1 LAYOUT</t>
  </si>
  <si>
    <t>SMS-45</t>
  </si>
  <si>
    <t>RELAY PANEL 2 LAYOUT</t>
  </si>
  <si>
    <t>SMS-46</t>
  </si>
  <si>
    <t>RELAY PANEL 3 LAYOUT</t>
  </si>
  <si>
    <t>SMS-47</t>
  </si>
  <si>
    <t>RELAY PANEL 4 LAYOUT</t>
  </si>
  <si>
    <t>SMS-48</t>
  </si>
  <si>
    <t>RELAY PANEL 5 LAYOUT</t>
  </si>
  <si>
    <t>SMS-49</t>
  </si>
  <si>
    <t>69kV THREE LINE DIAGRAM</t>
  </si>
  <si>
    <t>SMS-50</t>
  </si>
  <si>
    <t>BKR. 569 SMITHVILLE LINE POTT TRIP LOGIC USING SEL-311C RELAY</t>
  </si>
  <si>
    <t>SMS-50A</t>
  </si>
  <si>
    <t>69kV BREAKER 569 CLOSING LOGIC DIAGRAM USING SEL-311C RELAY</t>
  </si>
  <si>
    <t>SMS-50B</t>
  </si>
  <si>
    <t>BKR. 835 MISSOURI CITY LINE POTT TRIP LOGIC USING SEL-311C RELAY</t>
  </si>
  <si>
    <t>SMS-50C</t>
  </si>
  <si>
    <t>69kV BREAKER 835 CLOSING LOGIC DIAGRAM USING SEL-311C RELAY</t>
  </si>
  <si>
    <t>SMS-50D</t>
  </si>
  <si>
    <t>SUMMERSET &amp; SMITHVILLE ZONE 4 RELAY LOGIC</t>
  </si>
  <si>
    <t>SMS-50E</t>
  </si>
  <si>
    <t>SUMMERSET &amp; MISSOURI CITY ZONE 4 RELAY LOGIC</t>
  </si>
  <si>
    <t>SMS-50F</t>
  </si>
  <si>
    <t>CURRENT CIRCUITS</t>
  </si>
  <si>
    <t>SMS-51</t>
  </si>
  <si>
    <t>POTENTIAL CIRCUITS</t>
  </si>
  <si>
    <t>SMS-52</t>
  </si>
  <si>
    <t>MISCELLANEOUS SCHEMATICS</t>
  </si>
  <si>
    <t>SMS-53</t>
  </si>
  <si>
    <t>SMS-53A</t>
  </si>
  <si>
    <t xml:space="preserve">DC SCHEMATIC FOR CLEAR CREEK 69kV LINE BKR. 569 </t>
  </si>
  <si>
    <t>SMS-54</t>
  </si>
  <si>
    <t>DC SCHEMATIC FOR LATHROP 69kV LINE BKR. 900</t>
  </si>
  <si>
    <t>SMS-55</t>
  </si>
  <si>
    <t>DC SCHEMATIC FOR KNOXVILLE 69kV LINE BKR. 797</t>
  </si>
  <si>
    <t>SMS-56</t>
  </si>
  <si>
    <t>DC SCHEMATIC FOR MO. CITY 69kV LINE BKR. 835</t>
  </si>
  <si>
    <t>SMS-57</t>
  </si>
  <si>
    <t>WIRING DIAGRAM FOR PANEL 1 - 69kV BUS</t>
  </si>
  <si>
    <t>SMS-65</t>
  </si>
  <si>
    <t>WIRING DIAGRAM FOR PANEL 2 - CLEAR CREEK 69kV LINE</t>
  </si>
  <si>
    <t>SMS-66</t>
  </si>
  <si>
    <t>WIRING DIAGRAM FOR PANEL 3 - LATHROP 69kV LINE</t>
  </si>
  <si>
    <t>SMS-67</t>
  </si>
  <si>
    <t>WIRING DIAGRAM FOR PANEL 4 - KNOXVILLE 69kV LINE</t>
  </si>
  <si>
    <t>SMS-68</t>
  </si>
  <si>
    <t>WIRING DIAGRAM FOR PANEL 5 - MISSOURI CITY 69kV LINE</t>
  </si>
  <si>
    <t>SMS-69</t>
  </si>
  <si>
    <t>WIRING DIAGRAM FOR PANEL 5 - (HINGED PANEL)</t>
  </si>
  <si>
    <t>SMS-69A</t>
  </si>
  <si>
    <t>SCADA PANEL</t>
  </si>
  <si>
    <t>SMS-70</t>
  </si>
  <si>
    <t>BKR. 569 BCT CONNECTION DIAGRAM</t>
  </si>
  <si>
    <t>SMS-75</t>
  </si>
  <si>
    <t>BKR. 569 CONNECTION DIAGRAM</t>
  </si>
  <si>
    <t>SMS-76</t>
  </si>
  <si>
    <t>BKR. 900 BCT CONNECTION DIAGRAM</t>
  </si>
  <si>
    <t>SMS-77</t>
  </si>
  <si>
    <t>BKR. 900 CONNECTION DIAGRAM</t>
  </si>
  <si>
    <t>SMS-78</t>
  </si>
  <si>
    <t>BKR. 797 BCT CONNECTION DIAGRAM</t>
  </si>
  <si>
    <t>SMS-79</t>
  </si>
  <si>
    <t>BKR. 797 CONNECTION DIAGRAM</t>
  </si>
  <si>
    <t>SMS-80</t>
  </si>
  <si>
    <t>BKR. 835 BCT CONNECTION DIAGRAM</t>
  </si>
  <si>
    <t>SMS-81</t>
  </si>
  <si>
    <t>BKR. 835 CONNECTION DIAGRAM</t>
  </si>
  <si>
    <t>SMS-82</t>
  </si>
  <si>
    <t>REMOTE EQUIPMENT CONNECTION DIAGRAMS</t>
  </si>
  <si>
    <t>SMS-83</t>
  </si>
  <si>
    <t>FEDEX PRIORITY OVERNIGHT</t>
  </si>
  <si>
    <t>FEDEX STANDARD OVERNIGHT</t>
  </si>
  <si>
    <t>FEDEX 2DAY</t>
  </si>
  <si>
    <t>FEDEX SAME DAY</t>
  </si>
  <si>
    <t>USPS</t>
  </si>
  <si>
    <t>FUNCTIONAL DIAGRAMS</t>
  </si>
  <si>
    <t>THREE LINE DIAGRAMS</t>
  </si>
  <si>
    <t>LOGIC DIAGRAMS</t>
  </si>
  <si>
    <t>RELAY INPUTS &amp; OUTPUTS</t>
  </si>
  <si>
    <t>REVENUE CIRCUITS</t>
  </si>
  <si>
    <t>BREAKER FAILURE CIRCUITS</t>
  </si>
  <si>
    <t>CONTROL SCHEMATICS</t>
  </si>
  <si>
    <t>MISCELLANEOUS &amp; SCADA SCHEMATICS</t>
  </si>
  <si>
    <t>RELAY PANEL &amp; TERMINATION CABINET WIRING DIAGRAMS</t>
  </si>
  <si>
    <t>SCADA CONNECTION DIAGRAMS</t>
  </si>
  <si>
    <t>CONNECTION DIAGRAMS</t>
  </si>
  <si>
    <t>PANEL LAYOUT &amp; DETAILS</t>
  </si>
  <si>
    <t>(TEMPORARILY INCLUDED)_x000D_
CABLE SCHEDULES &amp; WIRING DETAILS</t>
  </si>
  <si>
    <t>HAND DELIVER</t>
  </si>
  <si>
    <t>Reset Flag:</t>
  </si>
  <si>
    <t>Contract Index for Relay</t>
  </si>
  <si>
    <t>All Drawings for Relay</t>
  </si>
  <si>
    <t>C:\Windows\SysWOW64\Inked.dll</t>
  </si>
  <si>
    <t>C:\Program Files\Common Files\Autodesk Shared\acax20enu.tlb</t>
  </si>
  <si>
    <t>{4E3F492A-FB57-4439-9BF0-1567ED84A3A9}</t>
  </si>
  <si>
    <t>EDE</t>
  </si>
  <si>
    <t>SCOPE OF PROJECT</t>
  </si>
  <si>
    <t>REFERENCE DRAWINGS</t>
  </si>
  <si>
    <t>EDE 
Sort Key</t>
  </si>
  <si>
    <t>Title Text</t>
  </si>
  <si>
    <t>z</t>
  </si>
  <si>
    <t>LINE DRAWINGS</t>
  </si>
  <si>
    <t>GROUND PLANS &amp; KEY ELEVATIONS</t>
  </si>
  <si>
    <t>MODULES - EQUIPMENT &amp; STRUCTURES</t>
  </si>
  <si>
    <t>MODULES - CONCRETE</t>
  </si>
  <si>
    <t>MODULES - OTHER (DETAILS)</t>
  </si>
  <si>
    <t>MODULES - CONTROL ENCLOSURE</t>
  </si>
  <si>
    <t>FABRICATION</t>
  </si>
  <si>
    <t>NOT IN SET</t>
  </si>
  <si>
    <t>PREFIX LENGTH</t>
  </si>
  <si>
    <t>D:\Dropbox\AMCE Work Folders\Substation Spreadsheets\Substation and Relay Transmittal</t>
  </si>
  <si>
    <t>JOE ENGINEER</t>
  </si>
  <si>
    <t>joe@mail.com</t>
  </si>
  <si>
    <t>PROJECT DESCRIPTION</t>
  </si>
  <si>
    <t>CLIENT NAME</t>
  </si>
  <si>
    <t>STATION NAME</t>
  </si>
  <si>
    <t>DRAWING NUMBER</t>
  </si>
  <si>
    <t>ONE LINE DIAGRAM (345kV LINES &amp; TRANSFORMER)</t>
  </si>
  <si>
    <t>ONE LINE DIAGRAM (T1 TERTIARY)</t>
  </si>
  <si>
    <t>PLOT PLAN</t>
  </si>
  <si>
    <t>FOREST SERVICE PERMIT AREA</t>
  </si>
  <si>
    <t>GRADING PLAN</t>
  </si>
  <si>
    <t>DRAIN DETAILS</t>
  </si>
  <si>
    <t>SUBSTATION SURFACING PLAN</t>
  </si>
  <si>
    <t>SUBSTATION SURFACING DETAILS</t>
  </si>
  <si>
    <t>SECURITY FENCE PLAN</t>
  </si>
  <si>
    <t>SECURITY FENCE DETAILS (ORIGINAL CONSTRUCTION)</t>
  </si>
  <si>
    <t>SECURITY FENCE DETAILS - 1</t>
  </si>
  <si>
    <t>STRUCTURE LAYOUT</t>
  </si>
  <si>
    <t>345kV ELEVATION AA (SOUTH)</t>
  </si>
  <si>
    <t>345kV ELEVATION AA (NORTH)</t>
  </si>
  <si>
    <t>345kV ELEVATION BB</t>
  </si>
  <si>
    <t>345kV ELEVATIONS CC &amp; DD</t>
  </si>
  <si>
    <t>345kV DETAILS</t>
  </si>
  <si>
    <t xml:space="preserve">345kV DEADEND STRUCTURE (7-1) </t>
  </si>
  <si>
    <t>345kV DEADEND STRUCTURE DETAILS (7-1)</t>
  </si>
  <si>
    <t>-</t>
  </si>
  <si>
    <t>REVISION CONTROL AM</t>
  </si>
  <si>
    <t>YES</t>
  </si>
  <si>
    <t>COMMENT</t>
  </si>
  <si>
    <t>0</t>
  </si>
  <si>
    <t>1004</t>
  </si>
  <si>
    <t>1</t>
  </si>
  <si>
    <t>1009</t>
  </si>
  <si>
    <t>2</t>
  </si>
  <si>
    <t>501</t>
  </si>
  <si>
    <t>1005</t>
  </si>
  <si>
    <t>1006</t>
  </si>
  <si>
    <t>1008</t>
  </si>
  <si>
    <t>505</t>
  </si>
  <si>
    <t>601</t>
  </si>
  <si>
    <t>test 1</t>
  </si>
  <si>
    <t>test 2</t>
  </si>
  <si>
    <t>test 3</t>
  </si>
  <si>
    <t>SAVE FILE.dwg</t>
  </si>
  <si>
    <t>TSH-4002100</t>
  </si>
  <si>
    <t>SCOPE</t>
  </si>
  <si>
    <t>W94A55WD</t>
  </si>
  <si>
    <t>ONE-LINE DIAGRAM (WORK DESCRIPTION)</t>
  </si>
  <si>
    <t>1-LINE WD</t>
  </si>
  <si>
    <t>W94A55</t>
  </si>
  <si>
    <t>ONE-LINE DIAGRAM</t>
  </si>
  <si>
    <t>1-LINE</t>
  </si>
  <si>
    <t>G98A409WD</t>
  </si>
  <si>
    <t>b-r</t>
  </si>
  <si>
    <t>MASTER GROUND PLAN (WORK DESCRIPTION)</t>
  </si>
  <si>
    <t>MAST GP WD</t>
  </si>
  <si>
    <t>Y99A22, G99A28</t>
  </si>
  <si>
    <t>R</t>
  </si>
  <si>
    <t>PARTIAL PLAN VIEW 34.5/12KV STRUCTURE</t>
  </si>
  <si>
    <t>Y98A195, G97A410</t>
  </si>
  <si>
    <t>PRECAST CONCRETE PULLBOX CONSTRUCTION DETAILS</t>
  </si>
  <si>
    <t>Y98A162, G98A355</t>
  </si>
  <si>
    <t>OIL CONTAINMENT CURB DETAILS W/SUMP PUMP ARRANGEMENT</t>
  </si>
  <si>
    <t>Y03A01, G03A01</t>
  </si>
  <si>
    <t>69KV STRUCTURE PLAN &amp; ELEVATIONS</t>
  </si>
  <si>
    <t>G17A300</t>
  </si>
  <si>
    <t>PLT PLN</t>
  </si>
  <si>
    <t>G17A301</t>
  </si>
  <si>
    <t>GRDG PLN</t>
  </si>
  <si>
    <t>G17A302</t>
  </si>
  <si>
    <t>FOOTING PLAN</t>
  </si>
  <si>
    <t>FTG PLN</t>
  </si>
  <si>
    <t>G17A303</t>
  </si>
  <si>
    <t>STRUCTURE PLAN</t>
  </si>
  <si>
    <t>STR PLN</t>
  </si>
  <si>
    <t>G17A304</t>
  </si>
  <si>
    <t>GROUND GRID PLAN</t>
  </si>
  <si>
    <t>GRNDG PLN</t>
  </si>
  <si>
    <t>G17A305</t>
  </si>
  <si>
    <t>CONDUIT PLAN</t>
  </si>
  <si>
    <t>CND PLN</t>
  </si>
  <si>
    <t>G17A308</t>
  </si>
  <si>
    <t>SURFACING PLAN</t>
  </si>
  <si>
    <t>SURF PLN</t>
  </si>
  <si>
    <t>G17A315</t>
  </si>
  <si>
    <t>STRUCTURE ELEVATION A</t>
  </si>
  <si>
    <t>STR ELEV A</t>
  </si>
  <si>
    <t>G17A316</t>
  </si>
  <si>
    <t>STRUCTURE ELEVATION B</t>
  </si>
  <si>
    <t>STR ELEV B</t>
  </si>
  <si>
    <t>G17A317</t>
  </si>
  <si>
    <t>STRUCTURE ELEVATION C</t>
  </si>
  <si>
    <t>STR ELEV C</t>
  </si>
  <si>
    <t>G17A318</t>
  </si>
  <si>
    <t>STRUCTURE ELEVATION D</t>
  </si>
  <si>
    <t>STR ELEV D</t>
  </si>
  <si>
    <t>G17A390</t>
  </si>
  <si>
    <t>c-c</t>
  </si>
  <si>
    <t>CONCRETE TRENCH SYSTEM REQUIREMENTS</t>
  </si>
  <si>
    <t>CORE CON TRENCH</t>
  </si>
  <si>
    <t>G17A391</t>
  </si>
  <si>
    <t>TUBULAR 3" &amp; 5" BUS &amp; DAMPER REQUIREMENTS</t>
  </si>
  <si>
    <t>CORE TUB 3 &amp; 5 BUS &amp; DMP</t>
  </si>
  <si>
    <t>G17A392</t>
  </si>
  <si>
    <t>TUBULAR 3" &amp; 5" BUS CRIMP CONNECTOR SYSTEM REQUIREMENTS</t>
  </si>
  <si>
    <t>CORE 3 &amp; 5 BUS CRMP CONN</t>
  </si>
  <si>
    <t>G17A393</t>
  </si>
  <si>
    <t>TUBULAR 3" BUS CRIMP CONNNECTOR SYSTEM DETAILS</t>
  </si>
  <si>
    <t>CORE TUB 3 CRMP CONN DET</t>
  </si>
  <si>
    <t>G17A394</t>
  </si>
  <si>
    <t>TUBULAR 5" BUS CRIMP CONNNECTOR SYSTEM DETAILS</t>
  </si>
  <si>
    <t>CORE TUB 5 CRMP CONN DET</t>
  </si>
  <si>
    <t>G17A395</t>
  </si>
  <si>
    <t>CABLE BUS CONNECTOR REQUIREMENTS</t>
  </si>
  <si>
    <t>CORE CAB CONN</t>
  </si>
  <si>
    <t>G17A396</t>
  </si>
  <si>
    <t>CABLE BUS CONNECTOR SYSTEM DETAILS (SHT 1 OF 2)</t>
  </si>
  <si>
    <t>CORE CAB CONN DET1</t>
  </si>
  <si>
    <t>G17A397</t>
  </si>
  <si>
    <t>CABLE BUS CONNECTOR SYSTEM DETAILS (SHT 2 OF 2)</t>
  </si>
  <si>
    <t>CORE CAB CONN DET2</t>
  </si>
  <si>
    <t>G17A398</t>
  </si>
  <si>
    <t>CABLE BUS CONDUCTOR &amp; SHIELD WIRE REQUIREMENTS</t>
  </si>
  <si>
    <t>CORE CAB COND SHLD</t>
  </si>
  <si>
    <t>G17A400</t>
  </si>
  <si>
    <t>CONDUIT SYSTEM (BELOW GRADE) REQUIREMENTS</t>
  </si>
  <si>
    <t>CORE CONDUIT SYS</t>
  </si>
  <si>
    <t>G17A402</t>
  </si>
  <si>
    <t>SUBSTATION FENCING REQUIREMENTS</t>
  </si>
  <si>
    <t>CORE FENCE</t>
  </si>
  <si>
    <t>G17A403</t>
  </si>
  <si>
    <t>SUBSTATION FENCE DETAILS (FENCE &amp; FOOTING INSTALLATION)</t>
  </si>
  <si>
    <t>CORE FENCE DET</t>
  </si>
  <si>
    <t>G17A404</t>
  </si>
  <si>
    <t>SUBSTATION SIGNAGE REQUIREMENTS</t>
  </si>
  <si>
    <t>CORE SIGNAGE</t>
  </si>
  <si>
    <t>G17A314</t>
  </si>
  <si>
    <t>69KV BREAKER STRUCTURE PLAN VIEW</t>
  </si>
  <si>
    <t>69KV BOX STR SHT5</t>
  </si>
  <si>
    <t>G17A310</t>
  </si>
  <si>
    <t>69KV BREAKER STRUCTURE SIDE ONE ELEVATION</t>
  </si>
  <si>
    <t>69KV BOX STR SHT1</t>
  </si>
  <si>
    <t>G17A311</t>
  </si>
  <si>
    <t>69KV BREAKER STRUCTURE SIDE TWO ELEVATION</t>
  </si>
  <si>
    <t>69KV BOX STR SHT2</t>
  </si>
  <si>
    <t>G17A312</t>
  </si>
  <si>
    <t>69KV BREAKER STRUCTURE SIDE THREE ELEVATION</t>
  </si>
  <si>
    <t>69KV BOX STR SHT3</t>
  </si>
  <si>
    <t>G17A313</t>
  </si>
  <si>
    <t>69KV BREAKER STRUCTURE SIDE FOUR ELEVATION</t>
  </si>
  <si>
    <t>69KV BOX STR SHT4</t>
  </si>
  <si>
    <t>G17A335</t>
  </si>
  <si>
    <t>69KV HVCB BREAKER MODULE</t>
  </si>
  <si>
    <t>69KV HVCB BKR MOD</t>
  </si>
  <si>
    <t>G17A336</t>
  </si>
  <si>
    <t>69KV BREAKER STRUCTURE PT MODULE</t>
  </si>
  <si>
    <t>69KV BKR STR PT MOD</t>
  </si>
  <si>
    <t>G17A334</t>
  </si>
  <si>
    <t>34.5KV THREE-PHASE PT MODULE</t>
  </si>
  <si>
    <t>34KV 3P PT MOD</t>
  </si>
  <si>
    <t>G17A337</t>
  </si>
  <si>
    <t>69KV CT &amp; ARRESTER MODULE</t>
  </si>
  <si>
    <t>69KV CT AR MOD</t>
  </si>
  <si>
    <t>G17A309</t>
  </si>
  <si>
    <t>69KV 'H' DEADEND STRUCTURE MODULE</t>
  </si>
  <si>
    <t>69KV H  DE STR MOD</t>
  </si>
  <si>
    <t>G17A368</t>
  </si>
  <si>
    <t>69KV CENTER-BREAK "V" SWITCH MOUNTING</t>
  </si>
  <si>
    <t>69KV CNT BRK V SW MNTG</t>
  </si>
  <si>
    <t>G17A321</t>
  </si>
  <si>
    <t>69KV BREAKER PAD DETAIL</t>
  </si>
  <si>
    <t>69KV BKR PAD DET</t>
  </si>
  <si>
    <t>G17A325</t>
  </si>
  <si>
    <t>DRILLED PIER DETAIL MODULE</t>
  </si>
  <si>
    <t>DR PIER DET MOD</t>
  </si>
  <si>
    <t>G17A320</t>
  </si>
  <si>
    <t>CONTROL ENCLOSURE FOUNDATION PLAN &amp; DETAILS</t>
  </si>
  <si>
    <t>CONT ENC FNDN PLN &amp; DET</t>
  </si>
  <si>
    <t>G17A322</t>
  </si>
  <si>
    <t>TRANSFORMER NO. 1 OIL CONTAINMENT DETAIL MODULE</t>
  </si>
  <si>
    <t>XFMR 1 CNT DET MOD</t>
  </si>
  <si>
    <t>G17A323</t>
  </si>
  <si>
    <t>TRANSFORMER NO. 1 OIL CONTAINMENT FLOOR REBAR MAT DETAIL</t>
  </si>
  <si>
    <t>XFMR 1 CNT FLR MAT DET</t>
  </si>
  <si>
    <t>G17A324</t>
  </si>
  <si>
    <t>TRANSFORMER NO. 1 OIL CONTAINMENT INTERFACE WITH PAD DETAIL</t>
  </si>
  <si>
    <t>XFMR 1 CNT INT DET</t>
  </si>
  <si>
    <t>G17A326</t>
  </si>
  <si>
    <t>TRANSFORMER NO. 2 PAD DETAIL MODULE</t>
  </si>
  <si>
    <t>XFMR 2 PAD DET MOD</t>
  </si>
  <si>
    <t>G17A327</t>
  </si>
  <si>
    <t>TRANSFORMER NO. 2 OIL CONTAINMENT DETAIL MODULE</t>
  </si>
  <si>
    <t>XFMR 2 CNT DET MOD</t>
  </si>
  <si>
    <t>G17A328</t>
  </si>
  <si>
    <t>TRANSFORMER NO. 2 OIL CONTAINMENT FLOOR REBAR MAT DETAIL</t>
  </si>
  <si>
    <t>XFMR 2 CNT FLR MAT DET</t>
  </si>
  <si>
    <t>G17A329</t>
  </si>
  <si>
    <t>TRANSFORMER OIL CONTAINMENT SUMP PIT</t>
  </si>
  <si>
    <t>XFMR CNT SMP PIT</t>
  </si>
  <si>
    <t>G17A330</t>
  </si>
  <si>
    <t>GROUNDING DETAILS</t>
  </si>
  <si>
    <t>GRNDG DET</t>
  </si>
  <si>
    <t>G17A331</t>
  </si>
  <si>
    <t>FENCE GROUNDING DETAILS</t>
  </si>
  <si>
    <t>FNC GRNDG DET</t>
  </si>
  <si>
    <t>G17A333</t>
  </si>
  <si>
    <t>FLOODLIGHT PEDESTAL DETAIL MODULE</t>
  </si>
  <si>
    <t>FLOOD PED DET MOD</t>
  </si>
  <si>
    <t>G17A340</t>
  </si>
  <si>
    <t>CONCRETE TRENCH SYSTEM DETAILS</t>
  </si>
  <si>
    <t>CON TRENCH SYS DET</t>
  </si>
  <si>
    <t>G17A332</t>
  </si>
  <si>
    <t>CABLE TRENCH SYSTEM GROUNDING DETAILS</t>
  </si>
  <si>
    <t>CAB TRENCH SYS GRNDG DET</t>
  </si>
  <si>
    <t>G17A341</t>
  </si>
  <si>
    <t>STATIC CONNECTION DETAILS</t>
  </si>
  <si>
    <t>STATIC CON DET</t>
  </si>
  <si>
    <t>G17A405</t>
  </si>
  <si>
    <t>CONTROL ENCLOSURE OUTDOOR DETAIL PLAN</t>
  </si>
  <si>
    <t>CONT ENC OD DET PLN</t>
  </si>
  <si>
    <t>G17A374</t>
  </si>
  <si>
    <t>GUARD POST FABRICATION DETAIL (ALUMINUM)</t>
  </si>
  <si>
    <t>GP FAB DET AL</t>
  </si>
  <si>
    <t>G17A375</t>
  </si>
  <si>
    <t>OIL CONTAINMENT PIT CATWALK PANEL (STEEL)</t>
  </si>
  <si>
    <t>OCP CW PAN ST</t>
  </si>
  <si>
    <t>G17A376</t>
  </si>
  <si>
    <t>TRANSFORMER NO. 1 CATWALK, STEP &amp; GUARD POST INSTALLATION MODULE</t>
  </si>
  <si>
    <t>XFMR1 CW SP GP INST MOD</t>
  </si>
  <si>
    <t>G17A377</t>
  </si>
  <si>
    <t>SUMP GRATING COVER FABRICAITON DETAILS (ALUMINUM)</t>
  </si>
  <si>
    <t>SGC FAB DET AL</t>
  </si>
  <si>
    <t>G17A378</t>
  </si>
  <si>
    <t>CATWALK SUPPORT &amp; STEP FABRICATION DETAILS</t>
  </si>
  <si>
    <t>CW S&amp;S FAB DET</t>
  </si>
  <si>
    <t>G17A379</t>
  </si>
  <si>
    <t>CONTROL ENCLOSURE CABLE RACEWAY MODULE "K3"</t>
  </si>
  <si>
    <t>CON ENC CRW MOD</t>
  </si>
  <si>
    <t>G17A380</t>
  </si>
  <si>
    <t>TRANSFORMER NO. 2 CATWALK, STEP &amp; GUARD POST INSTALLATION MODULE</t>
  </si>
  <si>
    <t>XFMR2 CW SP GP INST MOD</t>
  </si>
  <si>
    <t>G17A350</t>
  </si>
  <si>
    <t>69KV 2-BAY BOX STRUCTURE SIDE ELEVATION &amp; PLAN VIEW</t>
  </si>
  <si>
    <t>69KV 2-BAY BOX STR SIDE ELEV-PLN VW</t>
  </si>
  <si>
    <t>G17A351</t>
  </si>
  <si>
    <t>69KV 2-BAY BOX STRUCTURE END ELEVATIONS</t>
  </si>
  <si>
    <t>69KV 2-BAY BOX STR END ELEV</t>
  </si>
  <si>
    <t>G17A352</t>
  </si>
  <si>
    <t>69KV 2-BAY BOX STRUCTURE COLUMNS &amp; BEAMS B1-B2 DETAILS</t>
  </si>
  <si>
    <t>69KV 2-BAY BOX STR COL &amp; B1-B2 DET</t>
  </si>
  <si>
    <t>G17A353</t>
  </si>
  <si>
    <t>69KV 2-BAY BOX STRUCTURE BEAMS B3-B4 DETAILS</t>
  </si>
  <si>
    <t>69 KV 2-BAY BOX STR B3-B4DET</t>
  </si>
  <si>
    <t>G17A354</t>
  </si>
  <si>
    <t>69KV 2-BAY BOX STRUCTURE BEAMS B5-B6 &amp; MISC DETAILS</t>
  </si>
  <si>
    <t>69 KV 2-BAY BOX STR B5-B6-MSC DET</t>
  </si>
  <si>
    <t>G17A355</t>
  </si>
  <si>
    <t>69KV 2-BAY BOX STRUCTURE B7-B9 DETAILS</t>
  </si>
  <si>
    <t>69 KV 2-BAY BOX STR B7-B9 DET</t>
  </si>
  <si>
    <t>G17A359</t>
  </si>
  <si>
    <t>69KV 3P BUS SUPPORT ASSEMBLY (7' STANDARD SPACING)</t>
  </si>
  <si>
    <t>69KV 3P BS ASSY (7 STD)</t>
  </si>
  <si>
    <t>G17A360</t>
  </si>
  <si>
    <t>69KV 3P BUS SUPPORT BEAM FABRICATION DETAILS ( 7' STD SPACING)</t>
  </si>
  <si>
    <t>69KV 3P BS BM FAB DET (7 STD)</t>
  </si>
  <si>
    <t>G17A361</t>
  </si>
  <si>
    <t>69KV 3P BUS SUPPORT COLUMN FABRICATION DETAILS ( 7' STD SPACING)</t>
  </si>
  <si>
    <t>69KV 3P BS COL FAB DET (7 STD)</t>
  </si>
  <si>
    <t>G17A362</t>
  </si>
  <si>
    <t>69KV "H" 2-BEAM DEADEND ASSEMBLY</t>
  </si>
  <si>
    <t>69KV H 2BM DE ASSY</t>
  </si>
  <si>
    <t>G17A363</t>
  </si>
  <si>
    <t>69KV "H" 2-BEAM DEADEND UPPER BEAM DA-30 FABRICATION DETAILS</t>
  </si>
  <si>
    <t>69KV H 2BM DE BM DA-30 FAB DET</t>
  </si>
  <si>
    <t>G17A364</t>
  </si>
  <si>
    <t>69KV "H" 2-BEAM DEADEND LOWER BEAM DA-29 FABRICATION DETAILS</t>
  </si>
  <si>
    <t>69KV H 2BM DE BM DA-29 FAB DET</t>
  </si>
  <si>
    <t>G17A365</t>
  </si>
  <si>
    <t>69KV "H" 2-BEAM DEADEND COLUMN D-34 FABRICATION DETAILS</t>
  </si>
  <si>
    <t>69KV H 2BM DE COL D-34 FAB DET</t>
  </si>
  <si>
    <t>G17A366</t>
  </si>
  <si>
    <t>69KV "H" 2-BEAM DEADEND MAST A-27 FABRICATION DETAILS</t>
  </si>
  <si>
    <t>69KV H 2BM DE MAST A-27 FAB DET</t>
  </si>
  <si>
    <t>G17A367</t>
  </si>
  <si>
    <t>69KV "H" 2-BEAM DEADEND ANCHOR CAGE AC12 FABRICATION DETAILS</t>
  </si>
  <si>
    <t>69KV H 2BM DE AC12 FAB DET</t>
  </si>
  <si>
    <t>G17A369</t>
  </si>
  <si>
    <t>69KV 3P PT STAND ASSEMBLY</t>
  </si>
  <si>
    <t>69KV 3P PT ST ASSY</t>
  </si>
  <si>
    <t>G17A370</t>
  </si>
  <si>
    <t>69KV 3P PT STAND FABRICATION DETAILS</t>
  </si>
  <si>
    <t>69KV 3P PT ST FAB DET</t>
  </si>
  <si>
    <t>G17A371</t>
  </si>
  <si>
    <t>CT &amp; SA ADAPTER BRACKET FABRICATION DETAILS</t>
  </si>
  <si>
    <t>CT SA ADAPT BKT FAB DET</t>
  </si>
  <si>
    <t>G17A372</t>
  </si>
  <si>
    <t>69KV 1P BUS SUPPORT FABRICATION DETAILS</t>
  </si>
  <si>
    <t>69KV 1P BS FAB DET</t>
  </si>
  <si>
    <t>G17A373</t>
  </si>
  <si>
    <t>GROUNDING PLATFORM FABRICATION DETAILS</t>
  </si>
  <si>
    <t>GRND PLT FAB DET</t>
  </si>
  <si>
    <t>Y98A169, G98A362</t>
  </si>
  <si>
    <t>12KV STRUCTURE SECTIONS C,D&amp;E EQUIPMENT ARRANGEMENTS</t>
  </si>
  <si>
    <t>Y98A166, G98A359</t>
  </si>
  <si>
    <t>12KV EQUIPMENT ELEVATIONS STRUCTURE SOUTH SIDE VIEW</t>
  </si>
  <si>
    <t>Y98A165, G98A358</t>
  </si>
  <si>
    <t>12KV EQUIPMENT ELEVATIONS STRUCTURE NORTH SIDE VIEW</t>
  </si>
  <si>
    <t>Y98A167, G98A360</t>
  </si>
  <si>
    <t>12KV STRUCTURE EQUIPMENT ELEVATIONS EAST END VIEW</t>
  </si>
  <si>
    <t>G17A306</t>
  </si>
  <si>
    <t>SOIL BORING PLAN</t>
  </si>
  <si>
    <t>Y98A144, G98A337</t>
  </si>
  <si>
    <t>69/12KV ELEVATION EQUIPMENT ARRANGEMENT</t>
  </si>
  <si>
    <t>69 12KV EQUIP ARR</t>
  </si>
  <si>
    <t>G17A307</t>
  </si>
  <si>
    <t>GEOTECHNICAL REPORT</t>
  </si>
  <si>
    <t>REFERENCE</t>
  </si>
  <si>
    <t>G17A441</t>
  </si>
  <si>
    <t>TRENCH SYSTEM INSTALLATION GUIDELINES</t>
  </si>
  <si>
    <t>G17A442</t>
  </si>
  <si>
    <t>CONCAST TRENCH SYSTEM DRAWINGS</t>
  </si>
  <si>
    <t>G13A1375</t>
  </si>
  <si>
    <t>TRANSFORMER OUTLINE</t>
  </si>
  <si>
    <t>G13A1376</t>
  </si>
  <si>
    <t>TRANSFORMER NAMEPLATE</t>
  </si>
  <si>
    <t>G13A1377</t>
  </si>
  <si>
    <t>CONTROL PANEL LAYOUT</t>
  </si>
  <si>
    <t>G13A1378</t>
  </si>
  <si>
    <t>CONTROL PANEL WIRING DIAGRAM</t>
  </si>
  <si>
    <t>G13A1379</t>
  </si>
  <si>
    <t>CT &amp; GAGE WIRING SCHEMATIC</t>
  </si>
  <si>
    <t>G17A100</t>
  </si>
  <si>
    <t>69kV LINE PANEL (6924 TO BOLIVAR PLANT SUB 602) PANEL LAYOUT</t>
  </si>
  <si>
    <t>G17A101</t>
  </si>
  <si>
    <t>69kV LINE PANEL (6924 TO BOLIVAR PLANT SUB 602) AC SCHEMES</t>
  </si>
  <si>
    <t>G17A102</t>
  </si>
  <si>
    <t>69kV LINE PANEL (6924 TO BOLIVAR PLANT SUB 602) DC TRIP SCHEME</t>
  </si>
  <si>
    <t>G17A103</t>
  </si>
  <si>
    <t>69kV LINE PANEL (6924 TO BOLIVAR PLANT SUB 602) DC SCHEMATICS - SCADA, RECLOSE &amp; BKR FAILURE</t>
  </si>
  <si>
    <t>G17A104</t>
  </si>
  <si>
    <t>69kV LINE PANEL (6924 TO BOLIVAR PLANT SUB 602) 421 CONTACT DEVELOPMENT &amp; SCADA ALARMS</t>
  </si>
  <si>
    <t>G17A105</t>
  </si>
  <si>
    <t>69kV LINE PANEL (6924 TO BOLIVAR PLANT SUB 602) 311L CONTACT DEVELOPMENT &amp; BF TRIPS/BLOCKS</t>
  </si>
  <si>
    <t>G17A106</t>
  </si>
  <si>
    <t>69kV LINE PANEL (6924 TO BOLIVAR PLANT SUB 602) WIRING DIAGRAM</t>
  </si>
  <si>
    <t>G17A107</t>
  </si>
  <si>
    <t>69kV LINE PANEL (6924 TO BOLIVAR PLANT SUB 602) BILL OF MATERIAL</t>
  </si>
  <si>
    <t>G17A108</t>
  </si>
  <si>
    <t>69kV LINE PANEL (6924 TO BOLIVAR PLANT SUB 602) NAMEPLATE LIST</t>
  </si>
  <si>
    <t>G17A109</t>
  </si>
  <si>
    <t>69kV LINE PANEL (6922 TO DADEVILLE EAST SUB 368) PANEL LAYOUT</t>
  </si>
  <si>
    <t>G17A110</t>
  </si>
  <si>
    <t>69kV LINE PANEL (6922 TO DADEVILLE EAST SUB 368) AC SCHEMES</t>
  </si>
  <si>
    <t>G17A111</t>
  </si>
  <si>
    <t>69kV LINE PANEL (6922 TO DADEVILLE EAST SUB 368) DC TRIP SCHEME</t>
  </si>
  <si>
    <t>G17A112</t>
  </si>
  <si>
    <t>69kV LINE PANEL (6922 TO DADEVILLE EAST SUB 368) DC SCHEMATICS - SCADA, RECLOSE &amp; BKR FAILURE</t>
  </si>
  <si>
    <t>G17A113</t>
  </si>
  <si>
    <t>69kV LINE PANEL (6922 TO DADEVILLE EAST SUB 368) 421 CONTACT DEVELOPMENT &amp; SCADA ALARMS</t>
  </si>
  <si>
    <t>G17A114</t>
  </si>
  <si>
    <t>69kV LINE PANEL (6922 TO DADEVILLE EAST SUB 368) 311L CONTACT DEVELOPMENT &amp; BF TRIPS/BLOCKS</t>
  </si>
  <si>
    <t>G17A115</t>
  </si>
  <si>
    <t>69kV LINE PANEL (6922 TO DADEVILLE EAST SUB 368) WIRING DIAGRAM</t>
  </si>
  <si>
    <t>G17A116</t>
  </si>
  <si>
    <t>69kV LINE PANEL (6922 TO DADEVILLE EAST SUB 368) BILL OF MATERIAL</t>
  </si>
  <si>
    <t>G17A117</t>
  </si>
  <si>
    <t>69kV LINE PANEL (6922 TO DADEVILLE EAST SUB 368) NAMEPLATE LIST</t>
  </si>
  <si>
    <t>G17A118</t>
  </si>
  <si>
    <t>RELAY PANEL 69/34kV AUTO-XFMR (6917 &amp; 3403) PANEL LAYOUT</t>
  </si>
  <si>
    <t>G17A119</t>
  </si>
  <si>
    <t>RELAY PANEL 69/34kV AUTO-XFMR (6917 &amp; 3403) AC SCHEMATICS 421-H &amp; 421-L</t>
  </si>
  <si>
    <t>G17A120</t>
  </si>
  <si>
    <t>RELAY PANEL 69/34kV AUTO-XFMR (6917 &amp; 3403) AC SCHEMATICS 387-T</t>
  </si>
  <si>
    <t>G17A121</t>
  </si>
  <si>
    <t>RELAY PANEL 69/34kV AUTO-XFMR (6917 &amp; 3403) 421-H (HIGH-SIDE RELAY) DC SCHEMATICS</t>
  </si>
  <si>
    <t>G17A122</t>
  </si>
  <si>
    <t>RELAY PANEL 69/34kV AUTO-XFMR (6917 &amp; 3403) 421-L (LOW-SIDE RELAY) DC SCHEMATICS</t>
  </si>
  <si>
    <t>G17A123</t>
  </si>
  <si>
    <t>RELAY PANEL 69/34kV AUTO-XFMR (6917 &amp; 3403) 387-T (XFMR DIFF RELAY) DC SCHEMATICS</t>
  </si>
  <si>
    <t>G17A124</t>
  </si>
  <si>
    <t>RELAY PANEL 69/34kV AUTO-XFMR (6917 &amp; 3403) 421-H CONTACT DEVELOPMENT &amp; SCADA ALARMS</t>
  </si>
  <si>
    <t>G17A125</t>
  </si>
  <si>
    <t>RELAY PANEL 69/34kV AUTO-XFMR (6917 &amp; 3403) 421-L CONTACT DEVELOPMENT</t>
  </si>
  <si>
    <t>G17A126</t>
  </si>
  <si>
    <t>RELAY PANEL 69/34kV AUTO-XFMR (6917 &amp; 3403) 387-T CONTACT DEVELOPMENT</t>
  </si>
  <si>
    <t>G17A127</t>
  </si>
  <si>
    <t>RELAY PANEL 69/34kV AUTO-XFMR (6917 &amp; 3403) WIRING DIAGRAM</t>
  </si>
  <si>
    <t>G17A128</t>
  </si>
  <si>
    <t>RELAY PANEL 69/34kV AUTO-XFMR (6917 &amp; 3403) BILL OF MATERIALS</t>
  </si>
  <si>
    <t>G17A129</t>
  </si>
  <si>
    <t>RELAY PANEL 69/34kV AUTO-XFMR (6917 &amp; 3403) NAMEPLATE LIST</t>
  </si>
  <si>
    <t>G17A130</t>
  </si>
  <si>
    <t>RELAY PANEL - 69kV BUS DIFFERENTIAL PANEL LAYOUT</t>
  </si>
  <si>
    <t>G17A131</t>
  </si>
  <si>
    <t>RELAY PANEL - 69kV BUS DIFFERENTIAL AC SCHEME</t>
  </si>
  <si>
    <t>G17A132</t>
  </si>
  <si>
    <t>RELAY PANEL - 69kV BUS DIFFERENTIAL DC SCHEME</t>
  </si>
  <si>
    <t>G17A133</t>
  </si>
  <si>
    <t>RELAY PANEL - 69kV BUS DIFFERENTIAL CONTACT DEVELOPMENT</t>
  </si>
  <si>
    <t>G17A134</t>
  </si>
  <si>
    <t>RELAY PANEL - 69kV BUS DIFFERENTIAL WIRING DIAGRAM</t>
  </si>
  <si>
    <t>G17A135</t>
  </si>
  <si>
    <t>RELAY PANEL - 69kV BUS DIFFERENTIAL BILL OF MATERIAL</t>
  </si>
  <si>
    <t>G17A136</t>
  </si>
  <si>
    <t>RELAY PANEL - 69kV BUS DIFFERENTIAL NAMEPLATE LIST</t>
  </si>
  <si>
    <t>G17A142</t>
  </si>
  <si>
    <t>COMMUNICATIONS PANEL LAYOUT</t>
  </si>
  <si>
    <t>G17A143</t>
  </si>
  <si>
    <t>COMMUNICATIONS PANEL DC SCHEMATICS &amp; CONTACT DEVELOPMENT 3530</t>
  </si>
  <si>
    <t>G17A144</t>
  </si>
  <si>
    <t>COMMUNICATIONS PANEL WIRING DIAGRAM</t>
  </si>
  <si>
    <t>G17A145</t>
  </si>
  <si>
    <t>COMMUNICATIONS PANEL BILL OF MATERIAL AND NAMEPLATE LIST</t>
  </si>
  <si>
    <t>G17A198</t>
  </si>
  <si>
    <t>THREE LINE DIAGRAM SECTION 2 (69kV)</t>
  </si>
  <si>
    <t>G17A199</t>
  </si>
  <si>
    <t>THREE LINE DIAGRAM SECTION 3 (12kV)</t>
  </si>
  <si>
    <t>G17A200</t>
  </si>
  <si>
    <t>INTERCONNECT SHEET 91 FIELD TERMINATION CABINET</t>
  </si>
  <si>
    <t>G17A201</t>
  </si>
  <si>
    <t>IED 1-LINE DIAGRAM</t>
  </si>
  <si>
    <t>G17A319</t>
  </si>
  <si>
    <t>G17A338</t>
  </si>
  <si>
    <t>G17A339</t>
  </si>
  <si>
    <t>G17A342</t>
  </si>
  <si>
    <t>G17A343</t>
  </si>
  <si>
    <t>G17A344</t>
  </si>
  <si>
    <t>G17A345</t>
  </si>
  <si>
    <t>G17A346</t>
  </si>
  <si>
    <t>G17A347</t>
  </si>
  <si>
    <t>G17A348</t>
  </si>
  <si>
    <t>G17A349</t>
  </si>
  <si>
    <t>G17A356</t>
  </si>
  <si>
    <t>G17A357</t>
  </si>
  <si>
    <t>G17A358</t>
  </si>
  <si>
    <t>G17A381</t>
  </si>
  <si>
    <t>G17A382</t>
  </si>
  <si>
    <t>G17A383</t>
  </si>
  <si>
    <t>G17A384</t>
  </si>
  <si>
    <t>G17A385</t>
  </si>
  <si>
    <t>G17A386</t>
  </si>
  <si>
    <t>G17A387</t>
  </si>
  <si>
    <t>G17A388</t>
  </si>
  <si>
    <t>G17A389</t>
  </si>
  <si>
    <t>G17A399</t>
  </si>
  <si>
    <t>G17A401</t>
  </si>
  <si>
    <t>G17A406</t>
  </si>
  <si>
    <t>G17A407</t>
  </si>
  <si>
    <t>G17A408</t>
  </si>
  <si>
    <t>G17A409</t>
  </si>
  <si>
    <t>G17A410</t>
  </si>
  <si>
    <t>G17A411</t>
  </si>
  <si>
    <t>G17A412</t>
  </si>
  <si>
    <t>G17A413</t>
  </si>
  <si>
    <t>G17A414</t>
  </si>
  <si>
    <t>G17A415</t>
  </si>
  <si>
    <t>G17A416</t>
  </si>
  <si>
    <t>G17A417</t>
  </si>
  <si>
    <t>G17A418</t>
  </si>
  <si>
    <t>G17A419</t>
  </si>
  <si>
    <t>G17A420</t>
  </si>
  <si>
    <t>G17A421</t>
  </si>
  <si>
    <t>G17A422</t>
  </si>
  <si>
    <t>G17A423</t>
  </si>
  <si>
    <t>G17A424</t>
  </si>
  <si>
    <t>G17A425</t>
  </si>
  <si>
    <t>G17A426</t>
  </si>
  <si>
    <t>G17A427</t>
  </si>
  <si>
    <t>G17A428</t>
  </si>
  <si>
    <t>G17A429</t>
  </si>
  <si>
    <t>G17A430</t>
  </si>
  <si>
    <t>G17A431</t>
  </si>
  <si>
    <t>G17A432</t>
  </si>
  <si>
    <t>G17A433</t>
  </si>
  <si>
    <t>G17A434</t>
  </si>
  <si>
    <t>G17A435</t>
  </si>
  <si>
    <t>G17A436</t>
  </si>
  <si>
    <t>G17A437</t>
  </si>
  <si>
    <t>G17A438</t>
  </si>
  <si>
    <t>G17A439</t>
  </si>
  <si>
    <t>G17A440</t>
  </si>
  <si>
    <t>G17A443</t>
  </si>
  <si>
    <t>INSTRUCTION MANUAL (for CB878)</t>
  </si>
  <si>
    <t>INST MAN</t>
  </si>
  <si>
    <t>CB875TS</t>
  </si>
  <si>
    <t>CB875 TITLE SHEET</t>
  </si>
  <si>
    <t>AIR DIAG</t>
  </si>
  <si>
    <t>G17A444</t>
  </si>
  <si>
    <t>AIR DIAGRAM</t>
  </si>
  <si>
    <t>OUTLINE</t>
  </si>
  <si>
    <t>G17A445</t>
  </si>
  <si>
    <t>NP DWG</t>
  </si>
  <si>
    <t>G17A446</t>
  </si>
  <si>
    <t>NAMEPLATE DRAWING</t>
  </si>
  <si>
    <t>BCT DIAG</t>
  </si>
  <si>
    <t>G17A447</t>
  </si>
  <si>
    <t>BCT DIAGRAM</t>
  </si>
  <si>
    <t>DEVICE SHT</t>
  </si>
  <si>
    <t>G17A448</t>
  </si>
  <si>
    <t>DEVICE SHEET</t>
  </si>
  <si>
    <t>ELEC SCHEM SHT 1</t>
  </si>
  <si>
    <t>G17A449</t>
  </si>
  <si>
    <t>ELECTRICAL SCHEMATIC SHEET 1</t>
  </si>
  <si>
    <t>ELEC SCHEM SHT 2</t>
  </si>
  <si>
    <t>G17A450</t>
  </si>
  <si>
    <t>ELECTRICAL SCHEMATIC SHEET 2</t>
  </si>
  <si>
    <t>ELEC SCHEM SHT 2A</t>
  </si>
  <si>
    <t>G17A451</t>
  </si>
  <si>
    <t>ELECTRICAL SCHEMATIC SHEET 2A</t>
  </si>
  <si>
    <t>ELEC SCHEM SHT 3</t>
  </si>
  <si>
    <t>G17A452</t>
  </si>
  <si>
    <t>ELECTRICAL SCHEMATIC SHEET 3</t>
  </si>
  <si>
    <t>ELEC SCHEM SHT 4</t>
  </si>
  <si>
    <t>G17A453</t>
  </si>
  <si>
    <t>ELECTRICAL SCHEMATIC SHEET 4A</t>
  </si>
  <si>
    <t>ELEC SCHEM SHT 4A</t>
  </si>
  <si>
    <t>G17A454</t>
  </si>
  <si>
    <t>ELEC SCHEM SHT 5</t>
  </si>
  <si>
    <t>G17A455</t>
  </si>
  <si>
    <t>ELECTRICAL SCHEMATIC SHEET 5</t>
  </si>
  <si>
    <t>ELEC SCHEM SHT 6</t>
  </si>
  <si>
    <t>G17A456</t>
  </si>
  <si>
    <t>ELECTRICAL SCHEMATIC SHEET 6</t>
  </si>
  <si>
    <t>G17A457</t>
  </si>
  <si>
    <t>INSTRUCTION MANUAL</t>
  </si>
  <si>
    <t>CB875 INST MAN</t>
  </si>
  <si>
    <t>CB876TS</t>
  </si>
  <si>
    <t>CB876 TITLE SHEET</t>
  </si>
  <si>
    <t>G17A458</t>
  </si>
  <si>
    <t>G17A459</t>
  </si>
  <si>
    <t>G17A460</t>
  </si>
  <si>
    <t>G17A461</t>
  </si>
  <si>
    <t>G17A462</t>
  </si>
  <si>
    <t>G17A463</t>
  </si>
  <si>
    <t>G17A464</t>
  </si>
  <si>
    <t>G17A465</t>
  </si>
  <si>
    <t>G17A466</t>
  </si>
  <si>
    <t>G17A467</t>
  </si>
  <si>
    <t>G17A468</t>
  </si>
  <si>
    <t>G17A469</t>
  </si>
  <si>
    <t>G17A470</t>
  </si>
  <si>
    <t>G17A471</t>
  </si>
  <si>
    <t>CB877TS</t>
  </si>
  <si>
    <t>CB877 TITLE SHEET</t>
  </si>
  <si>
    <t>G17A472</t>
  </si>
  <si>
    <t>G17A473</t>
  </si>
  <si>
    <t>G17A474</t>
  </si>
  <si>
    <t>G17A475</t>
  </si>
  <si>
    <t>G17A476</t>
  </si>
  <si>
    <t>G17A477</t>
  </si>
  <si>
    <t>G17A478</t>
  </si>
  <si>
    <t>G17A479</t>
  </si>
  <si>
    <t>G17A480</t>
  </si>
  <si>
    <t>G17A481</t>
  </si>
  <si>
    <t>G17A482</t>
  </si>
  <si>
    <t>G17A483</t>
  </si>
  <si>
    <t>G17A484</t>
  </si>
  <si>
    <t>G17A485</t>
  </si>
  <si>
    <t>CB878TS</t>
  </si>
  <si>
    <t>CB878 TITLE SHEET</t>
  </si>
  <si>
    <t>G17A486</t>
  </si>
  <si>
    <t>G17A487</t>
  </si>
  <si>
    <t>G17A488</t>
  </si>
  <si>
    <t>G17A489</t>
  </si>
  <si>
    <t>G17A490</t>
  </si>
  <si>
    <t>G17A491</t>
  </si>
  <si>
    <t>G17A492</t>
  </si>
  <si>
    <t>G17A493</t>
  </si>
  <si>
    <t>G17A494</t>
  </si>
  <si>
    <t>G17A495</t>
  </si>
  <si>
    <t>G17A496</t>
  </si>
  <si>
    <t>G17A497</t>
  </si>
  <si>
    <t>G17A498</t>
  </si>
  <si>
    <t>G17A499</t>
  </si>
  <si>
    <t>?</t>
  </si>
  <si>
    <t>G99A217</t>
  </si>
  <si>
    <t>NAMEPLATE</t>
  </si>
  <si>
    <t>G99A218</t>
  </si>
  <si>
    <t>BCT NAMEPLATE</t>
  </si>
  <si>
    <t>G99A242</t>
  </si>
  <si>
    <t>G99A243</t>
  </si>
  <si>
    <t>W99A67, G99A221</t>
  </si>
  <si>
    <t>OUTLINE DRAWING</t>
  </si>
  <si>
    <t>W99A68, G99A222</t>
  </si>
  <si>
    <t>DOOR VIEW</t>
  </si>
  <si>
    <t>W99A69, G99A223</t>
  </si>
  <si>
    <t>CT SCHEMATIC</t>
  </si>
  <si>
    <t>W99A70, G99A224</t>
  </si>
  <si>
    <t>BREAKER CONTROL SCHEMATIC (1 OF 3)</t>
  </si>
  <si>
    <t>W99A71, G99A225</t>
  </si>
  <si>
    <t>BREAKER CONTROL SCHEMATIC (2 OF 3)</t>
  </si>
  <si>
    <t>W99A72, G99A226</t>
  </si>
  <si>
    <t>BREAKER CONTROL SCHEMATIC (3 OF 3)</t>
  </si>
  <si>
    <t>W99A73, G99A227</t>
  </si>
  <si>
    <t>WIRING DIAGRAM (1 OF 3)</t>
  </si>
  <si>
    <t>W99A74, G99A228</t>
  </si>
  <si>
    <t>WIRING DIAGRAM (2 OF 3)</t>
  </si>
  <si>
    <t>W99A75, G99A229</t>
  </si>
  <si>
    <t>WIRING DIAGRAM (3 OF 3)</t>
  </si>
  <si>
    <t>W99A76, G99A246</t>
  </si>
  <si>
    <t>W99A77, G99A247</t>
  </si>
  <si>
    <t>W99A78, G99A248</t>
  </si>
  <si>
    <t>W99A79, G99A249</t>
  </si>
  <si>
    <t>W99A80, G99A250</t>
  </si>
  <si>
    <t>W99A81, G99A251</t>
  </si>
  <si>
    <t>W99A82, G99A252</t>
  </si>
  <si>
    <t>W99A83, G99A253</t>
  </si>
  <si>
    <t>W99A84, G99A254</t>
  </si>
  <si>
    <t>Y97A3, G97A4</t>
  </si>
  <si>
    <t>THREE LINE DIAGRAM SECTION 1 (69/34kV)</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</si>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</sst>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000"/>
    <numFmt numFmtId="165" formatCode="mmmm\ d&quot;, &quot;yyyy"/>
    <numFmt numFmtId="166" formatCode="m/d/yy\ h:mm\ AM/PM"/>
    <numFmt numFmtId="167" formatCode="m/d/yyyy\ h:mm\ AM/PM"/>
  </numFmts>
  <fonts count="49" x14ac:knownFonts="1">
    <font>
      <sz val="11"/>
      <color theme="1"/>
      <name val="Calibri"/>
      <family val="2"/>
      <scheme val="minor"/>
    </font>
    <font>
      <b/>
      <sz val="11"/>
      <color theme="1"/>
      <name val="Calibri"/>
      <family val="2"/>
      <scheme val="minor"/>
    </font>
    <font>
      <sz val="8"/>
      <color theme="1"/>
      <name val="Calibri"/>
      <family val="2"/>
      <scheme val="minor"/>
    </font>
    <font>
      <sz val="10"/>
      <name val="Arial"/>
      <family val="2"/>
    </font>
    <font>
      <sz val="11"/>
      <name val="Calibri"/>
      <family val="2"/>
      <scheme val="minor"/>
    </font>
    <font>
      <b/>
      <sz val="16"/>
      <name val="Arial"/>
      <family val="2"/>
    </font>
    <font>
      <sz val="9"/>
      <name val="Arial"/>
      <family val="2"/>
    </font>
    <font>
      <b/>
      <sz val="9"/>
      <name val="Arial"/>
      <family val="2"/>
    </font>
    <font>
      <sz val="8"/>
      <name val="Arial"/>
      <family val="2"/>
    </font>
    <font>
      <b/>
      <sz val="8"/>
      <name val="Arial"/>
      <family val="2"/>
    </font>
    <font>
      <u/>
      <sz val="11"/>
      <color theme="10"/>
      <name val="Calibri"/>
      <family val="2"/>
      <scheme val="minor"/>
    </font>
    <font>
      <b/>
      <i/>
      <sz val="9"/>
      <color rgb="FFFF0000"/>
      <name val="Arial"/>
      <family val="2"/>
    </font>
    <font>
      <sz val="9"/>
      <color indexed="81"/>
      <name val="Tahoma"/>
      <family val="2"/>
    </font>
    <font>
      <b/>
      <sz val="9"/>
      <color indexed="81"/>
      <name val="Tahoma"/>
      <family val="2"/>
    </font>
    <font>
      <sz val="8"/>
      <name val="Calibri"/>
      <family val="2"/>
      <scheme val="minor"/>
    </font>
    <font>
      <sz val="26"/>
      <name val="amlogo1"/>
      <family val="2"/>
    </font>
    <font>
      <b/>
      <sz val="22"/>
      <name val="Arial"/>
      <family val="2"/>
    </font>
    <font>
      <b/>
      <sz val="12"/>
      <color theme="1"/>
      <name val="Calibri"/>
      <family val="2"/>
      <scheme val="minor"/>
    </font>
    <font>
      <b/>
      <sz val="12"/>
      <name val="Calibri"/>
      <family val="2"/>
      <scheme val="minor"/>
    </font>
    <font>
      <b/>
      <sz val="18"/>
      <name val="Terminal"/>
      <family val="3"/>
      <charset val="255"/>
    </font>
    <font>
      <b/>
      <sz val="14"/>
      <name val="Terminal"/>
      <family val="3"/>
      <charset val="255"/>
    </font>
    <font>
      <b/>
      <sz val="8"/>
      <name val="Times New Roman"/>
      <family val="1"/>
    </font>
    <font>
      <sz val="8"/>
      <name val="Times New Roman"/>
      <family val="1"/>
    </font>
    <font>
      <b/>
      <sz val="10"/>
      <name val="Arial"/>
      <family val="2"/>
    </font>
    <font>
      <vertAlign val="superscript"/>
      <sz val="8"/>
      <name val="Times New Roman"/>
      <family val="1"/>
    </font>
    <font>
      <sz val="8"/>
      <color theme="1"/>
      <name val="Times New Roman"/>
      <family val="1"/>
    </font>
    <font>
      <b/>
      <sz val="10"/>
      <name val="Times New Roman"/>
      <family val="1"/>
    </font>
    <font>
      <i/>
      <sz val="8"/>
      <name val="Times New Roman"/>
      <family val="1"/>
    </font>
    <font>
      <b/>
      <sz val="16"/>
      <color rgb="FFFF0000"/>
      <name val="Arial"/>
      <family val="2"/>
    </font>
    <font>
      <b/>
      <sz val="9"/>
      <name val="Times New Roman"/>
      <family val="1"/>
    </font>
    <font>
      <sz val="9"/>
      <name val="Times New Roman"/>
      <family val="1"/>
    </font>
    <font>
      <i/>
      <sz val="9"/>
      <name val="Times New Roman"/>
      <family val="1"/>
    </font>
    <font>
      <b/>
      <i/>
      <sz val="9"/>
      <name val="Times New Roman"/>
      <family val="1"/>
    </font>
    <font>
      <b/>
      <sz val="16"/>
      <name val="Times New Roman"/>
      <family val="1"/>
    </font>
    <font>
      <b/>
      <i/>
      <sz val="8"/>
      <color rgb="FFFF0000"/>
      <name val="Times New Roman"/>
      <family val="1"/>
    </font>
    <font>
      <sz val="11"/>
      <color theme="1"/>
      <name val="Calibri"/>
      <family val="2"/>
      <scheme val="minor"/>
    </font>
    <font>
      <sz val="10"/>
      <name val="Calibri"/>
      <family val="2"/>
      <scheme val="minor"/>
    </font>
    <font>
      <b/>
      <sz val="10"/>
      <name val="Calibri"/>
      <family val="2"/>
      <scheme val="minor"/>
    </font>
    <font>
      <sz val="10"/>
      <color theme="1"/>
      <name val="Calibri"/>
      <family val="2"/>
      <scheme val="minor"/>
    </font>
    <font>
      <vertAlign val="superscript"/>
      <sz val="10"/>
      <name val="Calibri"/>
      <family val="2"/>
      <scheme val="minor"/>
    </font>
    <font>
      <b/>
      <sz val="9"/>
      <name val="Calibri"/>
      <family val="2"/>
      <scheme val="minor"/>
    </font>
    <font>
      <sz val="9"/>
      <name val="Calibri"/>
      <family val="2"/>
      <scheme val="minor"/>
    </font>
    <font>
      <b/>
      <sz val="9"/>
      <color theme="1"/>
      <name val="Calibri"/>
      <family val="2"/>
      <scheme val="minor"/>
    </font>
    <font>
      <sz val="9"/>
      <color theme="1"/>
      <name val="Calibri"/>
      <family val="2"/>
      <scheme val="minor"/>
    </font>
    <font>
      <sz val="11"/>
      <color rgb="FFFF0000"/>
      <name val="Calibri"/>
      <family val="2"/>
    </font>
    <font>
      <sz val="11"/>
      <color rgb="FF000000"/>
      <name val="Calibri"/>
      <family val="2"/>
    </font>
    <font>
      <sz val="9"/>
      <color rgb="FF000000"/>
      <name val="Calibri"/>
      <family val="2"/>
    </font>
    <font>
      <b/>
      <sz val="18"/>
      <name val="Arial"/>
      <family val="2"/>
    </font>
    <font>
      <b/>
      <sz val="14"/>
      <name val="Arial"/>
      <family val="2"/>
    </font>
  </fonts>
  <fills count="23">
    <fill>
      <patternFill patternType="none"/>
    </fill>
    <fill>
      <patternFill patternType="gray125"/>
    </fill>
    <fill>
      <patternFill patternType="solid">
        <fgColor indexed="9"/>
        <bgColor indexed="64"/>
      </patternFill>
    </fill>
    <fill>
      <patternFill patternType="solid">
        <fgColor rgb="FFFFFF00"/>
        <bgColor indexed="64"/>
      </patternFill>
    </fill>
    <fill>
      <patternFill patternType="solid">
        <fgColor rgb="FF00B050"/>
        <bgColor indexed="64"/>
      </patternFill>
    </fill>
    <fill>
      <patternFill patternType="solid">
        <fgColor rgb="FF92D050"/>
        <bgColor indexed="64"/>
      </patternFill>
    </fill>
    <fill>
      <patternFill patternType="solid">
        <fgColor rgb="FFFF0000"/>
        <bgColor indexed="64"/>
      </patternFill>
    </fill>
    <fill>
      <patternFill patternType="solid">
        <fgColor theme="0" tint="-9.9978637043366805E-2"/>
        <bgColor indexed="64"/>
      </patternFill>
    </fill>
    <fill>
      <patternFill patternType="solid">
        <fgColor theme="0" tint="-0.499984740745262"/>
        <bgColor indexed="64"/>
      </patternFill>
    </fill>
    <fill>
      <patternFill patternType="solid">
        <fgColor theme="7" tint="0.39997558519241921"/>
        <bgColor indexed="64"/>
      </patternFill>
    </fill>
    <fill>
      <patternFill patternType="solid">
        <fgColor rgb="FF00B0F0"/>
        <bgColor indexed="64"/>
      </patternFill>
    </fill>
    <fill>
      <patternFill patternType="solid">
        <fgColor theme="8" tint="0.39997558519241921"/>
        <bgColor indexed="64"/>
      </patternFill>
    </fill>
    <fill>
      <patternFill patternType="solid">
        <fgColor theme="3" tint="0.3999755851924192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indexed="9"/>
        <bgColor indexed="26"/>
      </patternFill>
    </fill>
    <fill>
      <patternFill patternType="solid">
        <fgColor theme="7"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tint="-0.14999847407452621"/>
        <bgColor theme="0" tint="-0.14999847407452621"/>
      </patternFill>
    </fill>
  </fills>
  <borders count="73">
    <border>
      <left/>
      <right/>
      <top/>
      <bottom/>
      <diagonal/>
    </border>
    <border>
      <left/>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medium">
        <color indexed="64"/>
      </right>
      <top/>
      <bottom/>
      <diagonal/>
    </border>
    <border>
      <left/>
      <right/>
      <top style="thin">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thin">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8"/>
      </left>
      <right style="thin">
        <color indexed="8"/>
      </right>
      <top style="thin">
        <color indexed="8"/>
      </top>
      <bottom style="thin">
        <color indexed="8"/>
      </bottom>
      <diagonal/>
    </border>
    <border>
      <left/>
      <right/>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top style="thin">
        <color indexed="8"/>
      </top>
      <bottom/>
      <diagonal/>
    </border>
    <border>
      <left style="thin">
        <color indexed="8"/>
      </left>
      <right style="thin">
        <color indexed="8"/>
      </right>
      <top style="thin">
        <color indexed="8"/>
      </top>
      <bottom/>
      <diagonal/>
    </border>
    <border>
      <left style="thin">
        <color indexed="8"/>
      </left>
      <right style="thin">
        <color indexed="8"/>
      </right>
      <top/>
      <bottom style="thin">
        <color indexed="8"/>
      </bottom>
      <diagonal/>
    </border>
    <border>
      <left style="thin">
        <color indexed="8"/>
      </left>
      <right/>
      <top style="thin">
        <color indexed="8"/>
      </top>
      <bottom style="thin">
        <color indexed="8"/>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8"/>
      </left>
      <right/>
      <top/>
      <bottom style="thin">
        <color indexed="8"/>
      </bottom>
      <diagonal/>
    </border>
    <border>
      <left style="medium">
        <color indexed="64"/>
      </left>
      <right style="thin">
        <color indexed="64"/>
      </right>
      <top/>
      <bottom style="thin">
        <color indexed="64"/>
      </bottom>
      <diagonal/>
    </border>
    <border>
      <left style="medium">
        <color indexed="64"/>
      </left>
      <right style="medium">
        <color indexed="64"/>
      </right>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thin">
        <color indexed="8"/>
      </right>
      <top/>
      <bottom style="thin">
        <color indexed="8"/>
      </bottom>
      <diagonal/>
    </border>
    <border>
      <left style="thin">
        <color indexed="8"/>
      </left>
      <right/>
      <top style="thin">
        <color indexed="8"/>
      </top>
      <bottom/>
      <diagonal/>
    </border>
    <border>
      <left/>
      <right style="thin">
        <color indexed="8"/>
      </right>
      <top style="thin">
        <color indexed="8"/>
      </top>
      <bottom/>
      <diagonal/>
    </border>
    <border>
      <left style="thin">
        <color indexed="64"/>
      </left>
      <right/>
      <top style="thin">
        <color indexed="64"/>
      </top>
      <bottom style="medium">
        <color indexed="64"/>
      </bottom>
      <diagonal/>
    </border>
    <border>
      <left/>
      <right/>
      <top style="thin">
        <color indexed="64"/>
      </top>
      <bottom style="thin">
        <color indexed="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thin">
        <color theme="1"/>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bottom style="thin">
        <color indexed="64"/>
      </bottom>
      <diagonal/>
    </border>
    <border>
      <left/>
      <right/>
      <top style="thin">
        <color indexed="64"/>
      </top>
      <bottom style="medium">
        <color indexed="64"/>
      </bottom>
      <diagonal/>
    </border>
  </borders>
  <cellStyleXfs count="5">
    <xf numFmtId="0" fontId="0" fillId="0" borderId="0"/>
    <xf numFmtId="0" fontId="3" fillId="0" borderId="0"/>
    <xf numFmtId="0" fontId="10" fillId="0" borderId="0" applyNumberFormat="0" applyFill="0" applyBorder="0" applyAlignment="0" applyProtection="0"/>
    <xf numFmtId="0" fontId="3" fillId="0" borderId="10">
      <alignment vertical="center" wrapText="1"/>
      <protection locked="0"/>
    </xf>
    <xf numFmtId="0" fontId="35" fillId="20" borderId="17" applyBorder="0">
      <alignment horizontal="center"/>
    </xf>
  </cellStyleXfs>
  <cellXfs count="533">
    <xf numFmtId="0" fontId="0" fillId="0" borderId="0" xfId="0"/>
    <xf numFmtId="0" fontId="0" fillId="0" borderId="0" xfId="0"/>
    <xf numFmtId="0" fontId="0" fillId="0" borderId="0" xfId="0" applyFont="1" applyFill="1"/>
    <xf numFmtId="0" fontId="0" fillId="5" borderId="0" xfId="0" applyFont="1" applyFill="1"/>
    <xf numFmtId="0" fontId="0" fillId="3" borderId="0" xfId="0" applyFont="1" applyFill="1"/>
    <xf numFmtId="0" fontId="0" fillId="0" borderId="0" xfId="0" applyFont="1" applyFill="1" applyBorder="1"/>
    <xf numFmtId="0" fontId="0" fillId="0" borderId="0" xfId="0" applyNumberFormat="1" applyFont="1" applyFill="1" applyBorder="1" applyAlignment="1">
      <alignment horizontal="center"/>
    </xf>
    <xf numFmtId="0" fontId="0" fillId="0" borderId="0" xfId="0" applyNumberFormat="1" applyFont="1" applyFill="1" applyBorder="1" applyAlignment="1">
      <alignment horizontal="center" vertical="center"/>
    </xf>
    <xf numFmtId="0" fontId="0" fillId="0" borderId="0" xfId="0" applyAlignment="1">
      <alignment horizontal="center"/>
    </xf>
    <xf numFmtId="0" fontId="6" fillId="2" borderId="0" xfId="1" applyFont="1" applyFill="1"/>
    <xf numFmtId="0" fontId="7" fillId="2" borderId="0" xfId="1" applyFont="1" applyFill="1"/>
    <xf numFmtId="0" fontId="7" fillId="2" borderId="0" xfId="1" applyFont="1" applyFill="1" applyAlignment="1">
      <alignment horizontal="center"/>
    </xf>
    <xf numFmtId="0" fontId="6" fillId="2" borderId="0" xfId="1" applyFont="1" applyFill="1" applyProtection="1">
      <protection locked="0"/>
    </xf>
    <xf numFmtId="0" fontId="6" fillId="2" borderId="0" xfId="1" applyFont="1" applyFill="1" applyBorder="1"/>
    <xf numFmtId="0" fontId="6" fillId="2" borderId="3" xfId="1" applyFont="1" applyFill="1" applyBorder="1" applyAlignment="1">
      <alignment horizontal="center"/>
    </xf>
    <xf numFmtId="0" fontId="6" fillId="2" borderId="0" xfId="1" applyFont="1" applyFill="1" applyBorder="1" applyAlignment="1">
      <alignment horizontal="center"/>
    </xf>
    <xf numFmtId="0" fontId="7" fillId="2" borderId="0" xfId="1" applyFont="1" applyFill="1" applyAlignment="1">
      <alignment horizontal="center" wrapText="1"/>
    </xf>
    <xf numFmtId="0" fontId="0" fillId="4" borderId="0" xfId="0" applyFont="1" applyFill="1"/>
    <xf numFmtId="0" fontId="0" fillId="8" borderId="0" xfId="0" applyFont="1" applyFill="1"/>
    <xf numFmtId="0" fontId="0" fillId="6" borderId="0" xfId="0" applyFont="1" applyFill="1"/>
    <xf numFmtId="0" fontId="0" fillId="10" borderId="0" xfId="0" applyFont="1" applyFill="1"/>
    <xf numFmtId="0" fontId="0" fillId="0" borderId="0" xfId="0" applyAlignment="1">
      <alignment horizontal="left"/>
    </xf>
    <xf numFmtId="0" fontId="0" fillId="0" borderId="0" xfId="0" applyAlignment="1">
      <alignment wrapText="1"/>
    </xf>
    <xf numFmtId="0" fontId="0" fillId="0" borderId="13" xfId="0" applyBorder="1"/>
    <xf numFmtId="0" fontId="0" fillId="0" borderId="15" xfId="0" applyBorder="1"/>
    <xf numFmtId="0" fontId="0" fillId="0" borderId="23" xfId="0" applyBorder="1"/>
    <xf numFmtId="0" fontId="10" fillId="0" borderId="27" xfId="2" applyBorder="1"/>
    <xf numFmtId="0" fontId="0" fillId="0" borderId="27" xfId="0" applyBorder="1"/>
    <xf numFmtId="0" fontId="0" fillId="0" borderId="16" xfId="0" applyBorder="1"/>
    <xf numFmtId="0" fontId="0" fillId="0" borderId="22" xfId="0" applyBorder="1"/>
    <xf numFmtId="0" fontId="0" fillId="0" borderId="0" xfId="0" applyFont="1" applyFill="1" applyAlignment="1">
      <alignment horizontal="center"/>
    </xf>
    <xf numFmtId="49" fontId="0" fillId="0" borderId="0" xfId="0" applyNumberFormat="1" applyFont="1" applyFill="1" applyBorder="1" applyAlignment="1">
      <alignment horizontal="center"/>
    </xf>
    <xf numFmtId="0" fontId="0" fillId="0" borderId="30" xfId="0" applyBorder="1" applyAlignment="1">
      <alignment horizontal="center"/>
    </xf>
    <xf numFmtId="0" fontId="3" fillId="11" borderId="9" xfId="0" applyNumberFormat="1" applyFont="1" applyFill="1" applyBorder="1" applyAlignment="1" applyProtection="1">
      <alignment horizontal="center"/>
      <protection locked="0"/>
    </xf>
    <xf numFmtId="0" fontId="3" fillId="11" borderId="8" xfId="0" applyNumberFormat="1" applyFont="1" applyFill="1" applyBorder="1" applyAlignment="1" applyProtection="1">
      <alignment horizontal="center"/>
      <protection locked="0"/>
    </xf>
    <xf numFmtId="0" fontId="3" fillId="9" borderId="9" xfId="0" applyNumberFormat="1" applyFont="1" applyFill="1" applyBorder="1" applyAlignment="1" applyProtection="1">
      <alignment horizontal="center"/>
      <protection locked="0"/>
    </xf>
    <xf numFmtId="0" fontId="3" fillId="9" borderId="8" xfId="0" applyNumberFormat="1" applyFont="1" applyFill="1" applyBorder="1" applyAlignment="1" applyProtection="1">
      <alignment horizontal="center"/>
      <protection locked="0"/>
    </xf>
    <xf numFmtId="0" fontId="3" fillId="0" borderId="9" xfId="0" applyNumberFormat="1" applyFont="1" applyFill="1" applyBorder="1" applyAlignment="1" applyProtection="1">
      <alignment horizontal="center"/>
      <protection locked="0"/>
    </xf>
    <xf numFmtId="0" fontId="3" fillId="0" borderId="8" xfId="0" applyNumberFormat="1" applyFont="1" applyFill="1" applyBorder="1" applyAlignment="1" applyProtection="1">
      <alignment horizontal="center"/>
      <protection locked="0"/>
    </xf>
    <xf numFmtId="0" fontId="3" fillId="0" borderId="5" xfId="0" applyNumberFormat="1" applyFont="1" applyFill="1" applyBorder="1" applyAlignment="1" applyProtection="1">
      <alignment horizontal="center"/>
      <protection locked="0"/>
    </xf>
    <xf numFmtId="0" fontId="3" fillId="0" borderId="4" xfId="0" applyNumberFormat="1" applyFont="1" applyFill="1" applyBorder="1" applyAlignment="1" applyProtection="1">
      <alignment horizontal="center"/>
      <protection locked="0"/>
    </xf>
    <xf numFmtId="0" fontId="3" fillId="0" borderId="9" xfId="0" applyNumberFormat="1" applyFont="1" applyFill="1" applyBorder="1" applyAlignment="1" applyProtection="1">
      <protection locked="0"/>
    </xf>
    <xf numFmtId="0" fontId="3" fillId="0" borderId="4" xfId="0" applyNumberFormat="1" applyFont="1" applyFill="1" applyBorder="1" applyAlignment="1" applyProtection="1">
      <protection locked="0"/>
    </xf>
    <xf numFmtId="0" fontId="3" fillId="11" borderId="34" xfId="0" applyNumberFormat="1" applyFont="1" applyFill="1" applyBorder="1" applyAlignment="1" applyProtection="1">
      <alignment horizontal="center"/>
      <protection locked="0"/>
    </xf>
    <xf numFmtId="0" fontId="3" fillId="0" borderId="32" xfId="0" applyNumberFormat="1" applyFont="1" applyFill="1" applyBorder="1" applyAlignment="1" applyProtection="1">
      <alignment horizontal="center"/>
      <protection locked="0"/>
    </xf>
    <xf numFmtId="0" fontId="3" fillId="0" borderId="34" xfId="0" applyNumberFormat="1" applyFont="1" applyFill="1" applyBorder="1" applyAlignment="1" applyProtection="1">
      <alignment horizontal="center"/>
      <protection locked="0"/>
    </xf>
    <xf numFmtId="0" fontId="3" fillId="0" borderId="36" xfId="0" applyNumberFormat="1" applyFont="1" applyFill="1" applyBorder="1" applyAlignment="1" applyProtection="1">
      <alignment horizontal="center"/>
      <protection locked="0"/>
    </xf>
    <xf numFmtId="0" fontId="3" fillId="0" borderId="33" xfId="0" applyNumberFormat="1" applyFont="1" applyFill="1" applyBorder="1" applyAlignment="1" applyProtection="1">
      <alignment horizontal="center"/>
      <protection locked="0"/>
    </xf>
    <xf numFmtId="0" fontId="3" fillId="0" borderId="32" xfId="0" applyNumberFormat="1" applyFont="1" applyFill="1" applyBorder="1" applyAlignment="1" applyProtection="1">
      <protection locked="0"/>
    </xf>
    <xf numFmtId="0" fontId="3" fillId="0" borderId="33" xfId="0" applyNumberFormat="1" applyFont="1" applyFill="1" applyBorder="1" applyAlignment="1" applyProtection="1">
      <protection locked="0"/>
    </xf>
    <xf numFmtId="0" fontId="3" fillId="0" borderId="3" xfId="0" applyFont="1" applyFill="1" applyBorder="1" applyProtection="1">
      <protection locked="0"/>
    </xf>
    <xf numFmtId="0" fontId="3" fillId="0" borderId="3" xfId="0" applyNumberFormat="1" applyFont="1" applyFill="1" applyBorder="1" applyAlignment="1" applyProtection="1">
      <alignment horizontal="center"/>
      <protection locked="0"/>
    </xf>
    <xf numFmtId="0" fontId="3" fillId="0" borderId="4" xfId="0" applyFont="1" applyFill="1" applyBorder="1" applyProtection="1">
      <protection locked="0"/>
    </xf>
    <xf numFmtId="0" fontId="15" fillId="14" borderId="37" xfId="0" applyFont="1" applyFill="1" applyBorder="1" applyAlignment="1">
      <alignment horizontal="left" vertical="center"/>
    </xf>
    <xf numFmtId="0" fontId="7" fillId="2" borderId="2" xfId="1" applyFont="1" applyFill="1" applyBorder="1" applyAlignment="1">
      <alignment horizontal="left"/>
    </xf>
    <xf numFmtId="0" fontId="7" fillId="2" borderId="7" xfId="1" applyFont="1" applyFill="1" applyBorder="1" applyAlignment="1">
      <alignment horizontal="left"/>
    </xf>
    <xf numFmtId="0" fontId="5" fillId="2" borderId="0" xfId="1" applyFont="1" applyFill="1" applyAlignment="1">
      <alignment horizontal="center"/>
    </xf>
    <xf numFmtId="14" fontId="0" fillId="0" borderId="0" xfId="0" applyNumberFormat="1"/>
    <xf numFmtId="20" fontId="0" fillId="0" borderId="0" xfId="0" applyNumberFormat="1"/>
    <xf numFmtId="0" fontId="1" fillId="0" borderId="0" xfId="0" applyFont="1" applyAlignment="1">
      <alignment horizontal="center"/>
    </xf>
    <xf numFmtId="0" fontId="0" fillId="0" borderId="0" xfId="0" applyFont="1" applyAlignment="1">
      <alignment horizontal="left" vertical="center"/>
    </xf>
    <xf numFmtId="0" fontId="1" fillId="0" borderId="13" xfId="0" applyFont="1" applyBorder="1" applyAlignment="1">
      <alignment horizontal="center"/>
    </xf>
    <xf numFmtId="0" fontId="1" fillId="0" borderId="14" xfId="0" applyFont="1" applyBorder="1" applyAlignment="1">
      <alignment horizontal="center"/>
    </xf>
    <xf numFmtId="0" fontId="0" fillId="0" borderId="23" xfId="0" applyBorder="1" applyAlignment="1">
      <alignment horizontal="center"/>
    </xf>
    <xf numFmtId="0" fontId="0" fillId="0" borderId="0" xfId="0" applyBorder="1" applyAlignment="1">
      <alignment horizontal="center"/>
    </xf>
    <xf numFmtId="0" fontId="1" fillId="0" borderId="21" xfId="0" applyFont="1" applyBorder="1" applyAlignment="1">
      <alignment horizontal="center"/>
    </xf>
    <xf numFmtId="0" fontId="0" fillId="0" borderId="0" xfId="0" applyBorder="1"/>
    <xf numFmtId="0" fontId="0" fillId="0" borderId="21" xfId="0" applyBorder="1"/>
    <xf numFmtId="0" fontId="0" fillId="0" borderId="14" xfId="0" applyBorder="1" applyAlignment="1">
      <alignment horizontal="center"/>
    </xf>
    <xf numFmtId="0" fontId="0" fillId="0" borderId="16" xfId="0" applyBorder="1" applyAlignment="1">
      <alignment horizontal="center"/>
    </xf>
    <xf numFmtId="0" fontId="21" fillId="0" borderId="0" xfId="1" applyFont="1"/>
    <xf numFmtId="0" fontId="22" fillId="0" borderId="0" xfId="1" applyFont="1"/>
    <xf numFmtId="0" fontId="3" fillId="0" borderId="0" xfId="1"/>
    <xf numFmtId="0" fontId="21" fillId="0" borderId="0" xfId="1" applyFont="1" applyAlignment="1"/>
    <xf numFmtId="0" fontId="3" fillId="0" borderId="0" xfId="1" applyAlignment="1"/>
    <xf numFmtId="0" fontId="23" fillId="0" borderId="0" xfId="1" applyFont="1"/>
    <xf numFmtId="0" fontId="23" fillId="0" borderId="0" xfId="1" applyFont="1" applyAlignment="1"/>
    <xf numFmtId="0" fontId="23" fillId="0" borderId="0" xfId="1" applyFont="1" applyBorder="1"/>
    <xf numFmtId="0" fontId="25" fillId="0" borderId="0" xfId="1" applyFont="1"/>
    <xf numFmtId="0" fontId="3" fillId="0" borderId="0" xfId="1" applyBorder="1"/>
    <xf numFmtId="0" fontId="21" fillId="0" borderId="0" xfId="1" applyFont="1" applyBorder="1" applyAlignment="1">
      <alignment horizontal="center"/>
    </xf>
    <xf numFmtId="0" fontId="23" fillId="0" borderId="0" xfId="1" applyFont="1" applyBorder="1" applyAlignment="1">
      <alignment horizontal="center"/>
    </xf>
    <xf numFmtId="0" fontId="3" fillId="0" borderId="0" xfId="1" applyBorder="1" applyAlignment="1">
      <alignment horizontal="center"/>
    </xf>
    <xf numFmtId="0" fontId="21" fillId="0" borderId="41" xfId="1" applyFont="1" applyBorder="1"/>
    <xf numFmtId="0" fontId="3" fillId="0" borderId="41" xfId="1" applyBorder="1"/>
    <xf numFmtId="0" fontId="9" fillId="0" borderId="0" xfId="1" applyFont="1" applyBorder="1" applyAlignment="1">
      <alignment horizontal="center"/>
    </xf>
    <xf numFmtId="0" fontId="9" fillId="0" borderId="40" xfId="1" applyFont="1" applyBorder="1" applyAlignment="1">
      <alignment horizontal="center"/>
    </xf>
    <xf numFmtId="0" fontId="3" fillId="0" borderId="43" xfId="1" applyBorder="1" applyAlignment="1">
      <alignment horizontal="center"/>
    </xf>
    <xf numFmtId="0" fontId="3" fillId="0" borderId="40" xfId="1" applyBorder="1" applyAlignment="1">
      <alignment horizontal="center"/>
    </xf>
    <xf numFmtId="0" fontId="3" fillId="0" borderId="42" xfId="1" applyBorder="1"/>
    <xf numFmtId="0" fontId="3" fillId="0" borderId="0" xfId="1" applyAlignment="1">
      <alignment horizontal="center"/>
    </xf>
    <xf numFmtId="0" fontId="22" fillId="0" borderId="0" xfId="1" applyNumberFormat="1" applyFont="1"/>
    <xf numFmtId="0" fontId="27" fillId="0" borderId="0" xfId="1" applyFont="1" applyBorder="1" applyAlignment="1"/>
    <xf numFmtId="0" fontId="27" fillId="0" borderId="0" xfId="1" applyFont="1"/>
    <xf numFmtId="0" fontId="8" fillId="0" borderId="0" xfId="1" applyFont="1" applyBorder="1"/>
    <xf numFmtId="0" fontId="8" fillId="0" borderId="0" xfId="1" applyFont="1" applyBorder="1" applyAlignment="1">
      <alignment horizontal="center"/>
    </xf>
    <xf numFmtId="0" fontId="8" fillId="0" borderId="42" xfId="1" applyFont="1" applyBorder="1"/>
    <xf numFmtId="0" fontId="8" fillId="0" borderId="0" xfId="1" applyNumberFormat="1" applyFont="1" applyBorder="1" applyAlignment="1">
      <alignment horizontal="left"/>
    </xf>
    <xf numFmtId="0" fontId="8" fillId="0" borderId="0" xfId="1" applyNumberFormat="1" applyFont="1" applyBorder="1"/>
    <xf numFmtId="0" fontId="8" fillId="0" borderId="44" xfId="1" applyFont="1" applyBorder="1"/>
    <xf numFmtId="0" fontId="8" fillId="0" borderId="44" xfId="1" applyFont="1" applyBorder="1" applyAlignment="1">
      <alignment horizontal="center"/>
    </xf>
    <xf numFmtId="0" fontId="23" fillId="0" borderId="0" xfId="1" applyFont="1" applyAlignment="1">
      <alignment horizontal="center" wrapText="1"/>
    </xf>
    <xf numFmtId="0" fontId="3" fillId="15" borderId="47" xfId="1" applyFill="1" applyBorder="1" applyAlignment="1">
      <alignment horizontal="center" vertical="center"/>
    </xf>
    <xf numFmtId="0" fontId="6" fillId="15" borderId="47" xfId="1" applyFont="1" applyFill="1" applyBorder="1" applyAlignment="1">
      <alignment vertical="center"/>
    </xf>
    <xf numFmtId="0" fontId="6" fillId="0" borderId="42" xfId="1" applyFont="1" applyBorder="1" applyAlignment="1">
      <alignment vertical="center"/>
    </xf>
    <xf numFmtId="0" fontId="6" fillId="0" borderId="43" xfId="1" applyFont="1" applyBorder="1" applyAlignment="1">
      <alignment vertical="center"/>
    </xf>
    <xf numFmtId="0" fontId="6" fillId="0" borderId="47" xfId="1" applyFont="1" applyBorder="1"/>
    <xf numFmtId="0" fontId="3" fillId="0" borderId="43" xfId="1" applyBorder="1"/>
    <xf numFmtId="0" fontId="6" fillId="0" borderId="0" xfId="1" applyFont="1"/>
    <xf numFmtId="49" fontId="0" fillId="0" borderId="0" xfId="0" applyNumberFormat="1"/>
    <xf numFmtId="1" fontId="0" fillId="0" borderId="0" xfId="0" applyNumberFormat="1"/>
    <xf numFmtId="166" fontId="0" fillId="0" borderId="0" xfId="0" applyNumberFormat="1"/>
    <xf numFmtId="0" fontId="0" fillId="0" borderId="0" xfId="0" applyNumberFormat="1"/>
    <xf numFmtId="0" fontId="3" fillId="0" borderId="0" xfId="1" applyFont="1" applyBorder="1"/>
    <xf numFmtId="0" fontId="26" fillId="0" borderId="28" xfId="1" applyFont="1" applyBorder="1"/>
    <xf numFmtId="0" fontId="3" fillId="0" borderId="28" xfId="1" applyBorder="1"/>
    <xf numFmtId="0" fontId="3" fillId="0" borderId="28" xfId="1" applyBorder="1" applyAlignment="1">
      <alignment horizontal="center"/>
    </xf>
    <xf numFmtId="0" fontId="3" fillId="0" borderId="0" xfId="1" applyFont="1" applyBorder="1" applyAlignment="1">
      <alignment horizontal="left" vertical="top" wrapText="1"/>
    </xf>
    <xf numFmtId="167" fontId="0" fillId="0" borderId="0" xfId="0" applyNumberFormat="1"/>
    <xf numFmtId="0" fontId="0" fillId="0" borderId="0" xfId="0" applyAlignment="1">
      <alignment vertical="top" wrapText="1"/>
    </xf>
    <xf numFmtId="0" fontId="0" fillId="0" borderId="0" xfId="0" applyAlignment="1">
      <alignment vertical="top"/>
    </xf>
    <xf numFmtId="0" fontId="0" fillId="0" borderId="23" xfId="0" applyBorder="1" applyAlignment="1">
      <alignment horizontal="center" vertical="top"/>
    </xf>
    <xf numFmtId="0" fontId="0" fillId="0" borderId="0" xfId="0" applyBorder="1" applyAlignment="1">
      <alignment horizontal="center" vertical="top"/>
    </xf>
    <xf numFmtId="0" fontId="0" fillId="0" borderId="0" xfId="0" applyFill="1" applyBorder="1" applyAlignment="1">
      <alignment horizontal="center" vertical="top"/>
    </xf>
    <xf numFmtId="0" fontId="0" fillId="0" borderId="35" xfId="0" applyBorder="1"/>
    <xf numFmtId="0" fontId="0" fillId="0" borderId="29" xfId="0" applyBorder="1"/>
    <xf numFmtId="0" fontId="0" fillId="0" borderId="9" xfId="0" applyBorder="1" applyAlignment="1">
      <alignment vertical="top"/>
    </xf>
    <xf numFmtId="0" fontId="0" fillId="0" borderId="8" xfId="0" applyBorder="1" applyAlignment="1">
      <alignment vertical="top"/>
    </xf>
    <xf numFmtId="0" fontId="0" fillId="0" borderId="13" xfId="0" applyBorder="1" applyAlignment="1"/>
    <xf numFmtId="0" fontId="0" fillId="0" borderId="8" xfId="0" applyBorder="1" applyAlignment="1">
      <alignment vertical="top" wrapText="1"/>
    </xf>
    <xf numFmtId="0" fontId="0" fillId="0" borderId="9" xfId="0" applyBorder="1" applyAlignment="1">
      <alignment vertical="top" wrapText="1"/>
    </xf>
    <xf numFmtId="0" fontId="28" fillId="14" borderId="37" xfId="0" applyFont="1" applyFill="1" applyBorder="1" applyAlignment="1">
      <alignment horizontal="center" vertical="center" wrapText="1"/>
    </xf>
    <xf numFmtId="0" fontId="0" fillId="0" borderId="48" xfId="0" applyBorder="1" applyAlignment="1">
      <alignment horizontal="center" vertical="top"/>
    </xf>
    <xf numFmtId="0" fontId="0" fillId="0" borderId="15" xfId="0" applyBorder="1" applyAlignment="1">
      <alignment horizontal="center" vertical="top"/>
    </xf>
    <xf numFmtId="0" fontId="0" fillId="0" borderId="22" xfId="0" applyBorder="1" applyAlignment="1">
      <alignment horizontal="center" vertical="top"/>
    </xf>
    <xf numFmtId="49" fontId="0" fillId="0" borderId="29" xfId="0" quotePrefix="1" applyNumberFormat="1" applyBorder="1" applyAlignment="1">
      <alignment horizontal="center"/>
    </xf>
    <xf numFmtId="0" fontId="0" fillId="0" borderId="9" xfId="0" applyBorder="1"/>
    <xf numFmtId="0" fontId="0" fillId="0" borderId="8" xfId="0" applyBorder="1"/>
    <xf numFmtId="0" fontId="0" fillId="0" borderId="11" xfId="0" applyBorder="1"/>
    <xf numFmtId="0" fontId="0" fillId="0" borderId="32" xfId="0" applyBorder="1"/>
    <xf numFmtId="0" fontId="0" fillId="0" borderId="34" xfId="0" applyBorder="1" applyAlignment="1">
      <alignment horizontal="center"/>
    </xf>
    <xf numFmtId="0" fontId="7" fillId="2" borderId="2" xfId="1" applyFont="1" applyFill="1" applyBorder="1" applyAlignment="1">
      <alignment horizontal="left"/>
    </xf>
    <xf numFmtId="0" fontId="7" fillId="2" borderId="7" xfId="1" applyFont="1" applyFill="1" applyBorder="1" applyAlignment="1">
      <alignment horizontal="left"/>
    </xf>
    <xf numFmtId="0" fontId="7" fillId="2" borderId="0" xfId="1" applyFont="1" applyFill="1" applyAlignment="1">
      <alignment horizontal="left"/>
    </xf>
    <xf numFmtId="0" fontId="6" fillId="2" borderId="0" xfId="1" applyFont="1" applyFill="1" applyAlignment="1">
      <alignment horizontal="left"/>
    </xf>
    <xf numFmtId="0" fontId="29" fillId="2" borderId="0" xfId="1" applyFont="1" applyFill="1"/>
    <xf numFmtId="0" fontId="22" fillId="2" borderId="0" xfId="1" applyNumberFormat="1" applyFont="1" applyFill="1"/>
    <xf numFmtId="0" fontId="30" fillId="2" borderId="0" xfId="1" applyFont="1" applyFill="1"/>
    <xf numFmtId="0" fontId="30" fillId="2" borderId="0" xfId="1" applyNumberFormat="1" applyFont="1" applyFill="1"/>
    <xf numFmtId="0" fontId="31" fillId="2" borderId="0" xfId="1" applyFont="1" applyFill="1"/>
    <xf numFmtId="0" fontId="30" fillId="2" borderId="2" xfId="1" applyFont="1" applyFill="1" applyBorder="1"/>
    <xf numFmtId="0" fontId="30" fillId="2" borderId="1" xfId="1" applyFont="1" applyFill="1" applyBorder="1"/>
    <xf numFmtId="0" fontId="29" fillId="2" borderId="6" xfId="1" applyFont="1" applyFill="1" applyBorder="1" applyAlignment="1">
      <alignment horizontal="center"/>
    </xf>
    <xf numFmtId="0" fontId="29" fillId="2" borderId="4" xfId="1" applyFont="1" applyFill="1" applyBorder="1" applyAlignment="1">
      <alignment horizontal="center"/>
    </xf>
    <xf numFmtId="0" fontId="29" fillId="2" borderId="3" xfId="1" applyFont="1" applyFill="1" applyBorder="1" applyAlignment="1">
      <alignment horizontal="center"/>
    </xf>
    <xf numFmtId="0" fontId="29" fillId="2" borderId="0" xfId="1" applyFont="1" applyFill="1" applyBorder="1"/>
    <xf numFmtId="0" fontId="30" fillId="2" borderId="0" xfId="1" applyFont="1" applyFill="1" applyBorder="1"/>
    <xf numFmtId="0" fontId="29" fillId="2" borderId="0" xfId="1" applyFont="1" applyFill="1" applyAlignment="1"/>
    <xf numFmtId="0" fontId="30" fillId="2" borderId="0" xfId="1" applyFont="1" applyFill="1" applyAlignment="1"/>
    <xf numFmtId="0" fontId="29" fillId="2" borderId="0" xfId="1" applyFont="1" applyFill="1" applyAlignment="1">
      <alignment horizontal="center"/>
    </xf>
    <xf numFmtId="0" fontId="29" fillId="2" borderId="2" xfId="1" applyFont="1" applyFill="1" applyBorder="1" applyAlignment="1">
      <alignment horizontal="left"/>
    </xf>
    <xf numFmtId="0" fontId="29" fillId="2" borderId="2" xfId="1" applyFont="1" applyFill="1" applyBorder="1" applyAlignment="1">
      <alignment horizontal="left" wrapText="1"/>
    </xf>
    <xf numFmtId="0" fontId="29" fillId="2" borderId="3" xfId="1" applyFont="1" applyFill="1" applyBorder="1" applyAlignment="1">
      <alignment horizontal="center" wrapText="1"/>
    </xf>
    <xf numFmtId="0" fontId="29" fillId="2" borderId="0" xfId="1" applyFont="1" applyFill="1" applyAlignment="1">
      <alignment horizontal="left"/>
    </xf>
    <xf numFmtId="49" fontId="34" fillId="2" borderId="0" xfId="1" applyNumberFormat="1" applyFont="1" applyFill="1" applyAlignment="1">
      <alignment horizontal="left"/>
    </xf>
    <xf numFmtId="49" fontId="11" fillId="2" borderId="0" xfId="1" applyNumberFormat="1" applyFont="1" applyFill="1" applyAlignment="1">
      <alignment horizontal="left"/>
    </xf>
    <xf numFmtId="49" fontId="7" fillId="2" borderId="0" xfId="1" applyNumberFormat="1" applyFont="1" applyFill="1" applyAlignment="1"/>
    <xf numFmtId="0" fontId="22" fillId="2" borderId="2" xfId="1" applyFont="1" applyFill="1" applyBorder="1" applyAlignment="1">
      <alignment horizontal="center"/>
    </xf>
    <xf numFmtId="0" fontId="22" fillId="2" borderId="2" xfId="1" applyFont="1" applyFill="1" applyBorder="1"/>
    <xf numFmtId="0" fontId="22" fillId="2" borderId="1" xfId="1" applyFont="1" applyFill="1" applyBorder="1" applyAlignment="1">
      <alignment horizontal="center"/>
    </xf>
    <xf numFmtId="0" fontId="22" fillId="2" borderId="1" xfId="1" applyFont="1" applyFill="1" applyBorder="1"/>
    <xf numFmtId="0" fontId="36" fillId="0" borderId="0" xfId="1" applyFont="1"/>
    <xf numFmtId="0" fontId="37" fillId="0" borderId="0" xfId="1" applyFont="1"/>
    <xf numFmtId="0" fontId="37" fillId="0" borderId="0" xfId="1" applyFont="1" applyAlignment="1"/>
    <xf numFmtId="0" fontId="36" fillId="0" borderId="0" xfId="1" applyFont="1" applyAlignment="1"/>
    <xf numFmtId="0" fontId="37" fillId="0" borderId="0" xfId="1" applyFont="1" applyBorder="1" applyAlignment="1"/>
    <xf numFmtId="0" fontId="38" fillId="0" borderId="0" xfId="0" applyFont="1"/>
    <xf numFmtId="0" fontId="37" fillId="0" borderId="0" xfId="1" applyFont="1" applyBorder="1"/>
    <xf numFmtId="0" fontId="40" fillId="0" borderId="0" xfId="1" applyFont="1"/>
    <xf numFmtId="0" fontId="41" fillId="0" borderId="0" xfId="1" applyNumberFormat="1" applyFont="1"/>
    <xf numFmtId="0" fontId="14" fillId="0" borderId="0" xfId="1" applyFont="1"/>
    <xf numFmtId="0" fontId="35" fillId="0" borderId="0" xfId="0" applyFont="1"/>
    <xf numFmtId="0" fontId="36" fillId="0" borderId="0" xfId="1" applyFont="1" applyFill="1" applyBorder="1"/>
    <xf numFmtId="0" fontId="37" fillId="0" borderId="41" xfId="1" applyFont="1" applyFill="1" applyBorder="1"/>
    <xf numFmtId="0" fontId="36" fillId="0" borderId="41" xfId="1" applyFont="1" applyFill="1" applyBorder="1"/>
    <xf numFmtId="0" fontId="37" fillId="0" borderId="41" xfId="1" applyFont="1" applyFill="1" applyBorder="1" applyAlignment="1">
      <alignment horizontal="right"/>
    </xf>
    <xf numFmtId="0" fontId="37" fillId="0" borderId="41" xfId="1" applyFont="1" applyFill="1" applyBorder="1" applyAlignment="1"/>
    <xf numFmtId="0" fontId="38" fillId="0" borderId="0" xfId="0" applyFont="1" applyFill="1"/>
    <xf numFmtId="0" fontId="40" fillId="0" borderId="46" xfId="1" applyFont="1" applyFill="1" applyBorder="1" applyAlignment="1">
      <alignment horizontal="center"/>
    </xf>
    <xf numFmtId="0" fontId="40" fillId="0" borderId="52" xfId="1" applyFont="1" applyFill="1" applyBorder="1" applyAlignment="1">
      <alignment horizontal="center"/>
    </xf>
    <xf numFmtId="0" fontId="40" fillId="0" borderId="4" xfId="1" applyFont="1" applyFill="1" applyBorder="1" applyAlignment="1"/>
    <xf numFmtId="0" fontId="43" fillId="0" borderId="1" xfId="0" applyFont="1" applyFill="1" applyBorder="1"/>
    <xf numFmtId="0" fontId="43" fillId="0" borderId="5" xfId="0" applyFont="1" applyFill="1" applyBorder="1"/>
    <xf numFmtId="0" fontId="36" fillId="0" borderId="42" xfId="1" applyFont="1" applyBorder="1" applyAlignment="1">
      <alignment vertical="center"/>
    </xf>
    <xf numFmtId="0" fontId="36" fillId="0" borderId="40" xfId="1" applyFont="1" applyFill="1" applyBorder="1" applyAlignment="1">
      <alignment horizontal="center"/>
    </xf>
    <xf numFmtId="0" fontId="36" fillId="0" borderId="47" xfId="1" applyFont="1" applyFill="1" applyBorder="1" applyAlignment="1">
      <alignment horizontal="center"/>
    </xf>
    <xf numFmtId="0" fontId="41" fillId="0" borderId="0" xfId="1" applyNumberFormat="1" applyFont="1" applyBorder="1"/>
    <xf numFmtId="0" fontId="36" fillId="0" borderId="0" xfId="1" applyFont="1" applyBorder="1"/>
    <xf numFmtId="0" fontId="36" fillId="0" borderId="0" xfId="1" applyFont="1" applyBorder="1" applyAlignment="1">
      <alignment horizontal="center"/>
    </xf>
    <xf numFmtId="0" fontId="37" fillId="0" borderId="28" xfId="1" applyFont="1" applyBorder="1"/>
    <xf numFmtId="0" fontId="36" fillId="0" borderId="28" xfId="1" applyFont="1" applyBorder="1"/>
    <xf numFmtId="0" fontId="36" fillId="0" borderId="28" xfId="1" applyFont="1" applyBorder="1" applyAlignment="1">
      <alignment horizontal="center"/>
    </xf>
    <xf numFmtId="0" fontId="36" fillId="0" borderId="0" xfId="1" applyFont="1" applyBorder="1" applyAlignment="1">
      <alignment vertical="top" wrapText="1"/>
    </xf>
    <xf numFmtId="0" fontId="41" fillId="0" borderId="0" xfId="1" applyNumberFormat="1" applyFont="1" applyBorder="1" applyAlignment="1">
      <alignment vertical="top"/>
    </xf>
    <xf numFmtId="0" fontId="36" fillId="15" borderId="47" xfId="1" applyFont="1" applyFill="1" applyBorder="1" applyAlignment="1">
      <alignment horizontal="center" vertical="center"/>
    </xf>
    <xf numFmtId="0" fontId="36" fillId="15" borderId="47" xfId="1" applyFont="1" applyFill="1" applyBorder="1" applyAlignment="1">
      <alignment vertical="center"/>
    </xf>
    <xf numFmtId="0" fontId="36" fillId="0" borderId="43" xfId="1" applyFont="1" applyBorder="1" applyAlignment="1">
      <alignment vertical="center"/>
    </xf>
    <xf numFmtId="0" fontId="36" fillId="0" borderId="47" xfId="1" applyFont="1" applyBorder="1"/>
    <xf numFmtId="0" fontId="36" fillId="0" borderId="42" xfId="1" applyFont="1" applyBorder="1"/>
    <xf numFmtId="0" fontId="36" fillId="0" borderId="43" xfId="1" applyFont="1" applyBorder="1"/>
    <xf numFmtId="0" fontId="41" fillId="0" borderId="0" xfId="1" applyFont="1"/>
    <xf numFmtId="0" fontId="36" fillId="0" borderId="41" xfId="1" applyFont="1" applyFill="1" applyBorder="1" applyAlignment="1">
      <alignment horizontal="right"/>
    </xf>
    <xf numFmtId="0" fontId="0" fillId="0" borderId="27" xfId="0" applyBorder="1" applyAlignment="1">
      <alignment horizontal="left"/>
    </xf>
    <xf numFmtId="0" fontId="0" fillId="0" borderId="27" xfId="0" applyBorder="1" applyAlignment="1">
      <alignment horizontal="left" vertical="top"/>
    </xf>
    <xf numFmtId="0" fontId="0" fillId="0" borderId="27" xfId="0" applyBorder="1" applyAlignment="1">
      <alignment horizontal="left" wrapText="1"/>
    </xf>
    <xf numFmtId="0" fontId="0" fillId="0" borderId="16" xfId="0" applyFont="1" applyBorder="1" applyAlignment="1">
      <alignment horizontal="center"/>
    </xf>
    <xf numFmtId="0" fontId="0" fillId="0" borderId="9" xfId="0" applyBorder="1" applyAlignment="1">
      <alignment horizontal="center"/>
    </xf>
    <xf numFmtId="0" fontId="0" fillId="0" borderId="8" xfId="0" applyBorder="1" applyAlignment="1">
      <alignment horizontal="center"/>
    </xf>
    <xf numFmtId="0" fontId="0" fillId="0" borderId="11" xfId="0" applyBorder="1" applyAlignment="1">
      <alignment horizontal="center"/>
    </xf>
    <xf numFmtId="11" fontId="0" fillId="0" borderId="29" xfId="0" applyNumberFormat="1" applyBorder="1"/>
    <xf numFmtId="0" fontId="0" fillId="0" borderId="32" xfId="0" applyFill="1" applyBorder="1" applyAlignment="1">
      <alignment vertical="top"/>
    </xf>
    <xf numFmtId="0" fontId="0" fillId="0" borderId="34" xfId="0" applyBorder="1"/>
    <xf numFmtId="0" fontId="0" fillId="0" borderId="35" xfId="0" applyFill="1" applyBorder="1" applyAlignment="1">
      <alignment vertical="top"/>
    </xf>
    <xf numFmtId="0" fontId="3" fillId="0" borderId="53" xfId="0" applyNumberFormat="1" applyFont="1" applyFill="1" applyBorder="1" applyAlignment="1" applyProtection="1">
      <alignment horizontal="center"/>
      <protection locked="0"/>
    </xf>
    <xf numFmtId="0" fontId="3" fillId="0" borderId="20" xfId="0" applyNumberFormat="1" applyFont="1" applyFill="1" applyBorder="1" applyAlignment="1" applyProtection="1">
      <alignment horizontal="center"/>
      <protection locked="0"/>
    </xf>
    <xf numFmtId="0" fontId="3" fillId="0" borderId="7" xfId="0" applyNumberFormat="1" applyFont="1" applyFill="1" applyBorder="1" applyAlignment="1" applyProtection="1">
      <alignment horizontal="center"/>
      <protection locked="0"/>
    </xf>
    <xf numFmtId="0" fontId="3" fillId="0" borderId="6" xfId="0" applyNumberFormat="1" applyFont="1" applyFill="1" applyBorder="1" applyAlignment="1" applyProtection="1">
      <alignment horizontal="center"/>
      <protection locked="0"/>
    </xf>
    <xf numFmtId="0" fontId="3" fillId="0" borderId="53" xfId="0" applyNumberFormat="1" applyFont="1" applyFill="1" applyBorder="1" applyAlignment="1" applyProtection="1">
      <protection locked="0"/>
    </xf>
    <xf numFmtId="0" fontId="3" fillId="0" borderId="6" xfId="0" applyNumberFormat="1" applyFont="1" applyFill="1" applyBorder="1" applyAlignment="1" applyProtection="1">
      <protection locked="0"/>
    </xf>
    <xf numFmtId="0" fontId="1" fillId="0" borderId="30" xfId="0" applyFont="1" applyFill="1" applyBorder="1" applyAlignment="1" applyProtection="1">
      <alignment horizontal="center" wrapText="1"/>
    </xf>
    <xf numFmtId="0" fontId="0" fillId="0" borderId="14" xfId="0" applyBorder="1" applyAlignment="1">
      <alignment horizontal="left"/>
    </xf>
    <xf numFmtId="0" fontId="0" fillId="0" borderId="0" xfId="0" applyBorder="1" applyAlignment="1">
      <alignment horizontal="left"/>
    </xf>
    <xf numFmtId="0" fontId="0" fillId="0" borderId="0" xfId="0" applyBorder="1" applyAlignment="1">
      <alignment horizontal="left" vertical="top"/>
    </xf>
    <xf numFmtId="0" fontId="0" fillId="0" borderId="0" xfId="0" applyBorder="1" applyAlignment="1">
      <alignment horizontal="left" wrapText="1"/>
    </xf>
    <xf numFmtId="0" fontId="0" fillId="0" borderId="21" xfId="0" applyBorder="1" applyAlignment="1">
      <alignment horizontal="center"/>
    </xf>
    <xf numFmtId="0" fontId="0" fillId="0" borderId="14" xfId="0" applyBorder="1"/>
    <xf numFmtId="0" fontId="0" fillId="0" borderId="12" xfId="0" applyFill="1" applyBorder="1" applyAlignment="1">
      <alignment horizontal="center"/>
    </xf>
    <xf numFmtId="0" fontId="0" fillId="0" borderId="9" xfId="0" applyFill="1" applyBorder="1"/>
    <xf numFmtId="0" fontId="0" fillId="0" borderId="12" xfId="0" applyBorder="1" applyAlignment="1">
      <alignment vertical="top" wrapText="1"/>
    </xf>
    <xf numFmtId="0" fontId="0" fillId="0" borderId="23" xfId="0" applyBorder="1" applyAlignment="1">
      <alignment horizontal="center" vertical="top"/>
    </xf>
    <xf numFmtId="0" fontId="0" fillId="0" borderId="23" xfId="0" applyBorder="1" applyAlignment="1">
      <alignment horizontal="center"/>
    </xf>
    <xf numFmtId="0" fontId="0" fillId="0" borderId="0" xfId="0" quotePrefix="1"/>
    <xf numFmtId="0" fontId="1" fillId="0" borderId="0" xfId="0" applyFont="1" applyBorder="1" applyAlignment="1">
      <alignment horizontal="center"/>
    </xf>
    <xf numFmtId="0" fontId="3" fillId="16" borderId="9" xfId="0" applyNumberFormat="1" applyFont="1" applyFill="1" applyBorder="1" applyAlignment="1" applyProtection="1">
      <alignment horizontal="center"/>
      <protection locked="0"/>
    </xf>
    <xf numFmtId="0" fontId="3" fillId="16" borderId="8" xfId="0" applyNumberFormat="1" applyFont="1" applyFill="1" applyBorder="1" applyAlignment="1" applyProtection="1">
      <alignment horizontal="center"/>
      <protection locked="0"/>
    </xf>
    <xf numFmtId="0" fontId="3" fillId="16" borderId="20" xfId="0" applyNumberFormat="1" applyFont="1" applyFill="1" applyBorder="1" applyAlignment="1" applyProtection="1">
      <alignment horizontal="center"/>
      <protection locked="0"/>
    </xf>
    <xf numFmtId="0" fontId="3" fillId="16" borderId="34" xfId="0" applyNumberFormat="1" applyFont="1" applyFill="1" applyBorder="1" applyAlignment="1" applyProtection="1">
      <alignment horizontal="center"/>
      <protection locked="0"/>
    </xf>
    <xf numFmtId="0" fontId="3" fillId="17" borderId="9" xfId="0" applyNumberFormat="1" applyFont="1" applyFill="1" applyBorder="1" applyAlignment="1" applyProtection="1">
      <alignment horizontal="center"/>
      <protection locked="0"/>
    </xf>
    <xf numFmtId="0" fontId="3" fillId="17" borderId="8" xfId="0" applyNumberFormat="1" applyFont="1" applyFill="1" applyBorder="1" applyAlignment="1" applyProtection="1">
      <alignment horizontal="center"/>
      <protection locked="0"/>
    </xf>
    <xf numFmtId="0" fontId="1" fillId="0" borderId="23" xfId="0" applyFont="1" applyBorder="1" applyAlignment="1">
      <alignment horizontal="center"/>
    </xf>
    <xf numFmtId="0" fontId="0" fillId="0" borderId="13" xfId="0" applyBorder="1" applyAlignment="1">
      <alignment horizontal="center"/>
    </xf>
    <xf numFmtId="0" fontId="0" fillId="0" borderId="15" xfId="0" applyBorder="1" applyAlignment="1">
      <alignment horizontal="left"/>
    </xf>
    <xf numFmtId="0" fontId="0" fillId="0" borderId="30" xfId="0" applyFont="1" applyFill="1" applyBorder="1" applyAlignment="1">
      <alignment horizontal="center"/>
    </xf>
    <xf numFmtId="0" fontId="3" fillId="0" borderId="5" xfId="0" applyNumberFormat="1" applyFont="1" applyFill="1" applyBorder="1" applyAlignment="1" applyProtection="1">
      <alignment horizontal="center" vertical="center"/>
      <protection locked="0"/>
    </xf>
    <xf numFmtId="0" fontId="3" fillId="11" borderId="11" xfId="0" applyNumberFormat="1" applyFont="1" applyFill="1" applyBorder="1" applyAlignment="1" applyProtection="1">
      <alignment horizontal="center"/>
      <protection locked="0"/>
    </xf>
    <xf numFmtId="0" fontId="3" fillId="11" borderId="12" xfId="0" applyNumberFormat="1" applyFont="1" applyFill="1" applyBorder="1" applyAlignment="1" applyProtection="1">
      <alignment horizontal="center"/>
      <protection locked="0"/>
    </xf>
    <xf numFmtId="0" fontId="3" fillId="18" borderId="9" xfId="0" applyNumberFormat="1" applyFont="1" applyFill="1" applyBorder="1" applyAlignment="1" applyProtection="1">
      <alignment horizontal="center"/>
      <protection locked="0"/>
    </xf>
    <xf numFmtId="0" fontId="3" fillId="18" borderId="8" xfId="0" applyNumberFormat="1" applyFont="1" applyFill="1" applyBorder="1" applyAlignment="1" applyProtection="1">
      <alignment horizontal="center"/>
      <protection locked="0"/>
    </xf>
    <xf numFmtId="0" fontId="3" fillId="18" borderId="53" xfId="0" applyNumberFormat="1" applyFont="1" applyFill="1" applyBorder="1" applyAlignment="1" applyProtection="1">
      <alignment horizontal="center"/>
      <protection locked="0"/>
    </xf>
    <xf numFmtId="0" fontId="3" fillId="18" borderId="20" xfId="0" applyNumberFormat="1" applyFont="1" applyFill="1" applyBorder="1" applyAlignment="1" applyProtection="1">
      <alignment horizontal="center"/>
      <protection locked="0"/>
    </xf>
    <xf numFmtId="0" fontId="3" fillId="18" borderId="32" xfId="0" applyNumberFormat="1" applyFont="1" applyFill="1" applyBorder="1" applyAlignment="1" applyProtection="1">
      <alignment horizontal="center"/>
      <protection locked="0"/>
    </xf>
    <xf numFmtId="0" fontId="3" fillId="18" borderId="34" xfId="0" applyNumberFormat="1" applyFont="1" applyFill="1" applyBorder="1" applyAlignment="1" applyProtection="1">
      <alignment horizontal="center"/>
      <protection locked="0"/>
    </xf>
    <xf numFmtId="0" fontId="3" fillId="16" borderId="5" xfId="0" applyNumberFormat="1" applyFont="1" applyFill="1" applyBorder="1" applyAlignment="1" applyProtection="1">
      <alignment horizontal="center"/>
      <protection locked="0"/>
    </xf>
    <xf numFmtId="0" fontId="3" fillId="16" borderId="7" xfId="0" applyNumberFormat="1" applyFont="1" applyFill="1" applyBorder="1" applyAlignment="1" applyProtection="1">
      <alignment horizontal="center"/>
      <protection locked="0"/>
    </xf>
    <xf numFmtId="0" fontId="3" fillId="16" borderId="36" xfId="0" applyNumberFormat="1" applyFont="1" applyFill="1" applyBorder="1" applyAlignment="1" applyProtection="1">
      <alignment horizontal="center"/>
      <protection locked="0"/>
    </xf>
    <xf numFmtId="0" fontId="3" fillId="19" borderId="9" xfId="0" applyNumberFormat="1" applyFont="1" applyFill="1" applyBorder="1" applyAlignment="1" applyProtection="1">
      <alignment horizontal="center"/>
      <protection locked="0"/>
    </xf>
    <xf numFmtId="0" fontId="3" fillId="19" borderId="8" xfId="0" applyNumberFormat="1" applyFont="1" applyFill="1" applyBorder="1" applyAlignment="1" applyProtection="1">
      <alignment horizontal="center"/>
      <protection locked="0"/>
    </xf>
    <xf numFmtId="0" fontId="3" fillId="19" borderId="32" xfId="0" applyNumberFormat="1" applyFont="1" applyFill="1" applyBorder="1" applyAlignment="1" applyProtection="1">
      <alignment horizontal="center"/>
      <protection locked="0"/>
    </xf>
    <xf numFmtId="0" fontId="3" fillId="19" borderId="34" xfId="0" applyNumberFormat="1" applyFont="1" applyFill="1" applyBorder="1" applyAlignment="1" applyProtection="1">
      <alignment horizontal="center"/>
      <protection locked="0"/>
    </xf>
    <xf numFmtId="0" fontId="3" fillId="19" borderId="11" xfId="0" applyNumberFormat="1" applyFont="1" applyFill="1" applyBorder="1" applyAlignment="1" applyProtection="1">
      <alignment horizontal="center"/>
      <protection locked="0"/>
    </xf>
    <xf numFmtId="0" fontId="3" fillId="19" borderId="12" xfId="0" applyNumberFormat="1" applyFont="1" applyFill="1" applyBorder="1" applyAlignment="1" applyProtection="1">
      <alignment horizontal="center"/>
      <protection locked="0"/>
    </xf>
    <xf numFmtId="0" fontId="3" fillId="19" borderId="53" xfId="0" applyNumberFormat="1" applyFont="1" applyFill="1" applyBorder="1" applyAlignment="1" applyProtection="1">
      <alignment horizontal="center"/>
      <protection locked="0"/>
    </xf>
    <xf numFmtId="0" fontId="3" fillId="19" borderId="20" xfId="0" applyNumberFormat="1" applyFont="1" applyFill="1" applyBorder="1" applyAlignment="1" applyProtection="1">
      <alignment horizontal="center"/>
      <protection locked="0"/>
    </xf>
    <xf numFmtId="0" fontId="0" fillId="0" borderId="37" xfId="0" applyBorder="1" applyAlignment="1">
      <alignment horizontal="center"/>
    </xf>
    <xf numFmtId="0" fontId="0" fillId="0" borderId="57" xfId="0" applyBorder="1" applyAlignment="1">
      <alignment horizontal="center"/>
    </xf>
    <xf numFmtId="0" fontId="0" fillId="0" borderId="0" xfId="0" applyFont="1" applyFill="1" applyAlignment="1">
      <alignment horizontal="center"/>
    </xf>
    <xf numFmtId="0" fontId="3" fillId="18" borderId="9" xfId="0" applyFont="1" applyFill="1" applyBorder="1" applyAlignment="1" applyProtection="1">
      <alignment horizontal="center"/>
      <protection locked="0"/>
    </xf>
    <xf numFmtId="0" fontId="3" fillId="18" borderId="8" xfId="0" applyFont="1" applyFill="1" applyBorder="1" applyAlignment="1" applyProtection="1">
      <alignment horizontal="center"/>
      <protection locked="0"/>
    </xf>
    <xf numFmtId="0" fontId="3" fillId="16" borderId="5" xfId="0" applyFont="1" applyFill="1" applyBorder="1" applyAlignment="1" applyProtection="1">
      <alignment horizontal="center"/>
      <protection locked="0"/>
    </xf>
    <xf numFmtId="0" fontId="3" fillId="16" borderId="8" xfId="0" applyFont="1" applyFill="1" applyBorder="1" applyAlignment="1" applyProtection="1">
      <alignment horizontal="center"/>
      <protection locked="0"/>
    </xf>
    <xf numFmtId="0" fontId="3" fillId="18" borderId="11" xfId="0" applyFont="1" applyFill="1" applyBorder="1" applyAlignment="1" applyProtection="1">
      <alignment horizontal="center"/>
      <protection locked="0"/>
    </xf>
    <xf numFmtId="0" fontId="3" fillId="18" borderId="12" xfId="0" applyFont="1" applyFill="1" applyBorder="1" applyAlignment="1" applyProtection="1">
      <alignment horizontal="center"/>
      <protection locked="0"/>
    </xf>
    <xf numFmtId="0" fontId="3" fillId="16" borderId="56" xfId="0" applyFont="1" applyFill="1" applyBorder="1" applyAlignment="1" applyProtection="1">
      <alignment horizontal="center"/>
      <protection locked="0"/>
    </xf>
    <xf numFmtId="0" fontId="3" fillId="16" borderId="12" xfId="0" applyFont="1" applyFill="1" applyBorder="1" applyAlignment="1" applyProtection="1">
      <alignment horizontal="center"/>
      <protection locked="0"/>
    </xf>
    <xf numFmtId="164" fontId="3" fillId="14" borderId="18" xfId="0" applyNumberFormat="1" applyFont="1" applyFill="1" applyBorder="1" applyAlignment="1" applyProtection="1">
      <alignment horizontal="center"/>
      <protection locked="0"/>
    </xf>
    <xf numFmtId="0" fontId="35" fillId="20" borderId="8" xfId="4" applyBorder="1" applyProtection="1">
      <alignment horizontal="center"/>
      <protection locked="0"/>
    </xf>
    <xf numFmtId="0" fontId="35" fillId="20" borderId="4" xfId="4" applyBorder="1" applyProtection="1">
      <alignment horizontal="center"/>
      <protection locked="0"/>
    </xf>
    <xf numFmtId="0" fontId="35" fillId="20" borderId="6" xfId="4" applyBorder="1" applyProtection="1">
      <alignment horizontal="center"/>
      <protection locked="0"/>
    </xf>
    <xf numFmtId="0" fontId="35" fillId="20" borderId="12" xfId="4" applyBorder="1" applyProtection="1">
      <alignment horizontal="center"/>
      <protection locked="0"/>
    </xf>
    <xf numFmtId="0" fontId="36" fillId="15" borderId="60" xfId="1" applyFont="1" applyFill="1" applyBorder="1" applyAlignment="1">
      <alignment horizontal="center" vertical="center"/>
    </xf>
    <xf numFmtId="0" fontId="36" fillId="15" borderId="3" xfId="1" applyFont="1" applyFill="1" applyBorder="1" applyAlignment="1">
      <alignment horizontal="center" vertical="center"/>
    </xf>
    <xf numFmtId="0" fontId="36" fillId="0" borderId="3" xfId="1" applyFont="1" applyBorder="1"/>
    <xf numFmtId="0" fontId="3" fillId="0" borderId="56" xfId="0" applyNumberFormat="1" applyFont="1" applyFill="1" applyBorder="1" applyAlignment="1" applyProtection="1">
      <alignment horizontal="center" vertical="center"/>
      <protection locked="0"/>
    </xf>
    <xf numFmtId="0" fontId="3" fillId="0" borderId="26" xfId="0" applyNumberFormat="1" applyFont="1" applyFill="1" applyBorder="1" applyAlignment="1" applyProtection="1">
      <alignment horizontal="center"/>
      <protection locked="0"/>
    </xf>
    <xf numFmtId="0" fontId="3" fillId="0" borderId="26" xfId="0" applyFont="1" applyFill="1" applyBorder="1" applyProtection="1">
      <protection locked="0"/>
    </xf>
    <xf numFmtId="0" fontId="3" fillId="0" borderId="62" xfId="0" applyFont="1" applyFill="1" applyBorder="1" applyProtection="1">
      <protection locked="0"/>
    </xf>
    <xf numFmtId="0" fontId="3" fillId="0" borderId="18" xfId="3" applyBorder="1" applyProtection="1">
      <alignment vertical="center" wrapText="1"/>
      <protection locked="0"/>
    </xf>
    <xf numFmtId="0" fontId="0" fillId="0" borderId="58" xfId="0" applyBorder="1" applyProtection="1">
      <protection locked="0"/>
    </xf>
    <xf numFmtId="0" fontId="3" fillId="0" borderId="19" xfId="3" applyBorder="1" applyProtection="1">
      <alignment vertical="center" wrapText="1"/>
      <protection locked="0"/>
    </xf>
    <xf numFmtId="0" fontId="3" fillId="0" borderId="8" xfId="0" applyNumberFormat="1" applyFont="1" applyFill="1" applyBorder="1" applyAlignment="1" applyProtection="1">
      <protection locked="0"/>
    </xf>
    <xf numFmtId="164" fontId="3" fillId="0" borderId="18" xfId="0" applyNumberFormat="1" applyFont="1" applyFill="1" applyBorder="1" applyAlignment="1" applyProtection="1">
      <alignment horizontal="center" vertical="center"/>
      <protection locked="0"/>
    </xf>
    <xf numFmtId="0" fontId="0" fillId="0" borderId="18" xfId="0" applyBorder="1" applyAlignment="1" applyProtection="1">
      <alignment horizontal="center"/>
      <protection locked="0"/>
    </xf>
    <xf numFmtId="0" fontId="35" fillId="21" borderId="9" xfId="4" applyFill="1" applyBorder="1">
      <alignment horizontal="center"/>
    </xf>
    <xf numFmtId="0" fontId="35" fillId="21" borderId="11" xfId="4" applyFill="1" applyBorder="1">
      <alignment horizontal="center"/>
    </xf>
    <xf numFmtId="0" fontId="35" fillId="21" borderId="3" xfId="4" applyFill="1" applyBorder="1">
      <alignment horizontal="center"/>
    </xf>
    <xf numFmtId="0" fontId="35" fillId="21" borderId="26" xfId="4" applyFill="1" applyBorder="1">
      <alignment horizontal="center"/>
    </xf>
    <xf numFmtId="0" fontId="35" fillId="21" borderId="18" xfId="4" applyFill="1" applyBorder="1">
      <alignment horizontal="center"/>
    </xf>
    <xf numFmtId="0" fontId="35" fillId="21" borderId="19" xfId="4" applyFill="1" applyBorder="1">
      <alignment horizontal="center"/>
    </xf>
    <xf numFmtId="0" fontId="35" fillId="21" borderId="35" xfId="4" applyFill="1" applyBorder="1">
      <alignment horizontal="center"/>
    </xf>
    <xf numFmtId="0" fontId="35" fillId="21" borderId="55" xfId="4" applyFill="1" applyBorder="1">
      <alignment horizontal="center"/>
    </xf>
    <xf numFmtId="0" fontId="35" fillId="21" borderId="4" xfId="4" applyFill="1" applyBorder="1">
      <alignment horizontal="center"/>
    </xf>
    <xf numFmtId="0" fontId="17" fillId="14" borderId="30" xfId="0" applyFont="1" applyFill="1" applyBorder="1" applyAlignment="1">
      <alignment horizontal="center" vertical="center"/>
    </xf>
    <xf numFmtId="0" fontId="0" fillId="0" borderId="0" xfId="0" applyFont="1" applyAlignment="1">
      <alignment wrapText="1"/>
    </xf>
    <xf numFmtId="0" fontId="0" fillId="22" borderId="66" xfId="0" applyFont="1" applyFill="1" applyBorder="1" applyAlignment="1">
      <alignment wrapText="1"/>
    </xf>
    <xf numFmtId="0" fontId="35" fillId="21" borderId="53" xfId="4" applyFill="1" applyBorder="1">
      <alignment horizontal="center"/>
    </xf>
    <xf numFmtId="0" fontId="35" fillId="21" borderId="31" xfId="4" applyFill="1" applyBorder="1">
      <alignment horizontal="center"/>
    </xf>
    <xf numFmtId="0" fontId="3" fillId="11" borderId="53" xfId="0" applyNumberFormat="1" applyFont="1" applyFill="1" applyBorder="1" applyAlignment="1" applyProtection="1">
      <alignment horizontal="center"/>
      <protection locked="0"/>
    </xf>
    <xf numFmtId="0" fontId="3" fillId="11" borderId="20" xfId="0" applyNumberFormat="1" applyFont="1" applyFill="1" applyBorder="1" applyAlignment="1" applyProtection="1">
      <alignment horizontal="center"/>
      <protection locked="0"/>
    </xf>
    <xf numFmtId="0" fontId="2" fillId="0" borderId="54" xfId="0" applyFont="1" applyFill="1" applyBorder="1" applyAlignment="1" applyProtection="1">
      <alignment horizontal="center" vertical="center" wrapText="1"/>
      <protection locked="0"/>
    </xf>
    <xf numFmtId="0" fontId="35" fillId="21" borderId="54" xfId="4" applyFill="1" applyBorder="1">
      <alignment horizontal="center"/>
    </xf>
    <xf numFmtId="0" fontId="6" fillId="14" borderId="37" xfId="0" applyNumberFormat="1" applyFont="1" applyFill="1" applyBorder="1" applyAlignment="1">
      <alignment horizontal="center" vertical="center" textRotation="90" wrapText="1"/>
    </xf>
    <xf numFmtId="0" fontId="6" fillId="11" borderId="67" xfId="0" applyNumberFormat="1" applyFont="1" applyFill="1" applyBorder="1" applyAlignment="1" applyProtection="1">
      <alignment vertical="center" textRotation="90" wrapText="1"/>
      <protection locked="0"/>
    </xf>
    <xf numFmtId="0" fontId="6" fillId="11" borderId="15" xfId="0" applyNumberFormat="1" applyFont="1" applyFill="1" applyBorder="1" applyAlignment="1" applyProtection="1">
      <alignment vertical="center" textRotation="90" wrapText="1"/>
      <protection locked="0"/>
    </xf>
    <xf numFmtId="0" fontId="6" fillId="17" borderId="13" xfId="0" applyNumberFormat="1" applyFont="1" applyFill="1" applyBorder="1" applyAlignment="1" applyProtection="1">
      <alignment vertical="center" textRotation="90" wrapText="1"/>
      <protection locked="0"/>
    </xf>
    <xf numFmtId="0" fontId="6" fillId="17" borderId="15" xfId="0" applyNumberFormat="1" applyFont="1" applyFill="1" applyBorder="1" applyAlignment="1" applyProtection="1">
      <alignment vertical="center" textRotation="90" wrapText="1"/>
      <protection locked="0"/>
    </xf>
    <xf numFmtId="0" fontId="6" fillId="19" borderId="67" xfId="0" applyNumberFormat="1" applyFont="1" applyFill="1" applyBorder="1" applyAlignment="1" applyProtection="1">
      <alignment vertical="center" textRotation="90" wrapText="1"/>
      <protection locked="0"/>
    </xf>
    <xf numFmtId="0" fontId="6" fillId="19" borderId="15" xfId="0" applyNumberFormat="1" applyFont="1" applyFill="1" applyBorder="1" applyAlignment="1" applyProtection="1">
      <alignment vertical="center" textRotation="90" wrapText="1"/>
      <protection locked="0"/>
    </xf>
    <xf numFmtId="0" fontId="6" fillId="9" borderId="67" xfId="0" applyNumberFormat="1" applyFont="1" applyFill="1" applyBorder="1" applyAlignment="1" applyProtection="1">
      <alignment vertical="center" textRotation="90" wrapText="1"/>
      <protection locked="0"/>
    </xf>
    <xf numFmtId="0" fontId="6" fillId="9" borderId="15" xfId="0" applyNumberFormat="1" applyFont="1" applyFill="1" applyBorder="1" applyAlignment="1" applyProtection="1">
      <alignment vertical="center" textRotation="90" wrapText="1"/>
      <protection locked="0"/>
    </xf>
    <xf numFmtId="0" fontId="6" fillId="18" borderId="13" xfId="0" applyNumberFormat="1" applyFont="1" applyFill="1" applyBorder="1" applyAlignment="1" applyProtection="1">
      <alignment vertical="center" textRotation="90" wrapText="1"/>
      <protection locked="0"/>
    </xf>
    <xf numFmtId="0" fontId="6" fillId="18" borderId="68" xfId="0" applyNumberFormat="1" applyFont="1" applyFill="1" applyBorder="1" applyAlignment="1" applyProtection="1">
      <alignment vertical="center" textRotation="90" wrapText="1"/>
      <protection locked="0"/>
    </xf>
    <xf numFmtId="0" fontId="6" fillId="16" borderId="14" xfId="0" applyNumberFormat="1" applyFont="1" applyFill="1" applyBorder="1" applyAlignment="1" applyProtection="1">
      <alignment vertical="center" textRotation="90" wrapText="1"/>
      <protection locked="0"/>
    </xf>
    <xf numFmtId="0" fontId="6" fillId="16" borderId="15" xfId="0" applyNumberFormat="1" applyFont="1" applyFill="1" applyBorder="1" applyAlignment="1" applyProtection="1">
      <alignment vertical="center" textRotation="90" wrapText="1"/>
      <protection locked="0"/>
    </xf>
    <xf numFmtId="0" fontId="6" fillId="0" borderId="67" xfId="0" applyNumberFormat="1" applyFont="1" applyFill="1" applyBorder="1" applyAlignment="1" applyProtection="1">
      <alignment vertical="center" textRotation="90" wrapText="1"/>
      <protection locked="0"/>
    </xf>
    <xf numFmtId="0" fontId="6" fillId="0" borderId="15" xfId="0" applyNumberFormat="1" applyFont="1" applyFill="1" applyBorder="1" applyAlignment="1" applyProtection="1">
      <alignment vertical="center" textRotation="90" wrapText="1"/>
      <protection locked="0"/>
    </xf>
    <xf numFmtId="0" fontId="0" fillId="14" borderId="30" xfId="0" applyFont="1" applyFill="1" applyBorder="1" applyAlignment="1">
      <alignment horizontal="center" wrapText="1"/>
    </xf>
    <xf numFmtId="0" fontId="4" fillId="11" borderId="69" xfId="0" applyNumberFormat="1" applyFont="1" applyFill="1" applyBorder="1" applyAlignment="1">
      <alignment horizontal="center" vertical="center" textRotation="90" wrapText="1"/>
    </xf>
    <xf numFmtId="0" fontId="2" fillId="11" borderId="70" xfId="0" applyNumberFormat="1" applyFont="1" applyFill="1" applyBorder="1" applyAlignment="1">
      <alignment horizontal="center" vertical="center" textRotation="90" wrapText="1"/>
    </xf>
    <xf numFmtId="0" fontId="4" fillId="17" borderId="69" xfId="0" applyNumberFormat="1" applyFont="1" applyFill="1" applyBorder="1" applyAlignment="1">
      <alignment horizontal="center" vertical="center" textRotation="90" wrapText="1"/>
    </xf>
    <xf numFmtId="0" fontId="2" fillId="17" borderId="70" xfId="0" applyNumberFormat="1" applyFont="1" applyFill="1" applyBorder="1" applyAlignment="1">
      <alignment horizontal="center" vertical="center" textRotation="90" wrapText="1"/>
    </xf>
    <xf numFmtId="0" fontId="4" fillId="19" borderId="69" xfId="0" applyNumberFormat="1" applyFont="1" applyFill="1" applyBorder="1" applyAlignment="1">
      <alignment horizontal="center" vertical="center" textRotation="90" wrapText="1"/>
    </xf>
    <xf numFmtId="0" fontId="14" fillId="19" borderId="70" xfId="0" applyNumberFormat="1" applyFont="1" applyFill="1" applyBorder="1" applyAlignment="1">
      <alignment horizontal="center" vertical="center" textRotation="90" wrapText="1"/>
    </xf>
    <xf numFmtId="0" fontId="4" fillId="9" borderId="69" xfId="0" applyNumberFormat="1" applyFont="1" applyFill="1" applyBorder="1" applyAlignment="1">
      <alignment horizontal="center" vertical="center" textRotation="90" wrapText="1"/>
    </xf>
    <xf numFmtId="0" fontId="2" fillId="9" borderId="70" xfId="0" applyNumberFormat="1" applyFont="1" applyFill="1" applyBorder="1" applyAlignment="1">
      <alignment horizontal="center" vertical="center" textRotation="90" wrapText="1"/>
    </xf>
    <xf numFmtId="0" fontId="4" fillId="18" borderId="69" xfId="0" applyNumberFormat="1" applyFont="1" applyFill="1" applyBorder="1" applyAlignment="1">
      <alignment horizontal="center" vertical="center" textRotation="90" wrapText="1"/>
    </xf>
    <xf numFmtId="0" fontId="2" fillId="18" borderId="70" xfId="0" applyNumberFormat="1" applyFont="1" applyFill="1" applyBorder="1" applyAlignment="1">
      <alignment horizontal="center" vertical="center" textRotation="90" wrapText="1"/>
    </xf>
    <xf numFmtId="0" fontId="4" fillId="16" borderId="69" xfId="0" applyNumberFormat="1" applyFont="1" applyFill="1" applyBorder="1" applyAlignment="1">
      <alignment horizontal="center" vertical="center" textRotation="90" wrapText="1"/>
    </xf>
    <xf numFmtId="0" fontId="2" fillId="16" borderId="70" xfId="0" applyNumberFormat="1" applyFont="1" applyFill="1" applyBorder="1" applyAlignment="1">
      <alignment horizontal="center" vertical="center" textRotation="90" wrapText="1"/>
    </xf>
    <xf numFmtId="0" fontId="4" fillId="0" borderId="69" xfId="0" applyNumberFormat="1" applyFont="1" applyFill="1" applyBorder="1" applyAlignment="1">
      <alignment horizontal="center" vertical="center" textRotation="90" wrapText="1"/>
    </xf>
    <xf numFmtId="0" fontId="2" fillId="0" borderId="70" xfId="0" applyNumberFormat="1" applyFont="1" applyFill="1" applyBorder="1" applyAlignment="1">
      <alignment horizontal="center" vertical="center" textRotation="90" wrapText="1"/>
    </xf>
    <xf numFmtId="164" fontId="3" fillId="14" borderId="71" xfId="0" applyNumberFormat="1" applyFont="1" applyFill="1" applyBorder="1" applyAlignment="1" applyProtection="1">
      <alignment horizontal="center"/>
      <protection locked="0"/>
    </xf>
    <xf numFmtId="164" fontId="3" fillId="14" borderId="10" xfId="0" applyNumberFormat="1" applyFont="1" applyFill="1" applyBorder="1" applyAlignment="1" applyProtection="1">
      <alignment horizontal="center"/>
      <protection locked="0"/>
    </xf>
    <xf numFmtId="164" fontId="3" fillId="14" borderId="1" xfId="0" applyNumberFormat="1" applyFont="1" applyFill="1" applyBorder="1" applyAlignment="1" applyProtection="1">
      <alignment horizontal="center"/>
      <protection locked="0"/>
    </xf>
    <xf numFmtId="0" fontId="3" fillId="14" borderId="1" xfId="0" applyFont="1" applyFill="1" applyBorder="1" applyAlignment="1" applyProtection="1">
      <alignment horizontal="center"/>
      <protection locked="0"/>
    </xf>
    <xf numFmtId="0" fontId="3" fillId="14" borderId="72" xfId="0" applyFont="1" applyFill="1" applyBorder="1" applyAlignment="1" applyProtection="1">
      <alignment horizontal="center"/>
      <protection locked="0"/>
    </xf>
    <xf numFmtId="0" fontId="3" fillId="17" borderId="5" xfId="0" applyNumberFormat="1" applyFont="1" applyFill="1" applyBorder="1" applyAlignment="1" applyProtection="1">
      <alignment horizontal="center"/>
      <protection locked="0"/>
    </xf>
    <xf numFmtId="0" fontId="3" fillId="17" borderId="7" xfId="0" applyNumberFormat="1" applyFont="1" applyFill="1" applyBorder="1" applyAlignment="1" applyProtection="1">
      <alignment horizontal="center"/>
      <protection locked="0"/>
    </xf>
    <xf numFmtId="0" fontId="0" fillId="17" borderId="5" xfId="0" applyFill="1" applyBorder="1" applyAlignment="1" applyProtection="1">
      <alignment horizontal="center"/>
      <protection locked="0"/>
    </xf>
    <xf numFmtId="0" fontId="3" fillId="17" borderId="56" xfId="0" applyNumberFormat="1" applyFont="1" applyFill="1" applyBorder="1" applyAlignment="1" applyProtection="1">
      <alignment horizontal="center"/>
      <protection locked="0"/>
    </xf>
    <xf numFmtId="0" fontId="3" fillId="17" borderId="4" xfId="0" applyNumberFormat="1" applyFont="1" applyFill="1" applyBorder="1" applyAlignment="1" applyProtection="1">
      <alignment horizontal="center"/>
      <protection locked="0"/>
    </xf>
    <xf numFmtId="0" fontId="3" fillId="17" borderId="6" xfId="0" applyNumberFormat="1" applyFont="1" applyFill="1" applyBorder="1" applyAlignment="1" applyProtection="1">
      <alignment horizontal="center"/>
      <protection locked="0"/>
    </xf>
    <xf numFmtId="0" fontId="3" fillId="17" borderId="33" xfId="0" applyNumberFormat="1" applyFont="1" applyFill="1" applyBorder="1" applyAlignment="1" applyProtection="1">
      <alignment horizontal="center"/>
      <protection locked="0"/>
    </xf>
    <xf numFmtId="0" fontId="3" fillId="17" borderId="62" xfId="0" applyNumberFormat="1" applyFont="1" applyFill="1" applyBorder="1" applyAlignment="1" applyProtection="1">
      <alignment horizontal="center"/>
      <protection locked="0"/>
    </xf>
    <xf numFmtId="0" fontId="3" fillId="9" borderId="5" xfId="0" applyNumberFormat="1" applyFont="1" applyFill="1" applyBorder="1" applyAlignment="1" applyProtection="1">
      <alignment horizontal="center"/>
      <protection locked="0"/>
    </xf>
    <xf numFmtId="0" fontId="3" fillId="9" borderId="7" xfId="0" applyNumberFormat="1" applyFont="1" applyFill="1" applyBorder="1" applyAlignment="1" applyProtection="1">
      <alignment horizontal="center"/>
      <protection locked="0"/>
    </xf>
    <xf numFmtId="0" fontId="3" fillId="9" borderId="36" xfId="0" applyNumberFormat="1" applyFont="1" applyFill="1" applyBorder="1" applyAlignment="1" applyProtection="1">
      <alignment horizontal="center"/>
      <protection locked="0"/>
    </xf>
    <xf numFmtId="0" fontId="3" fillId="9" borderId="56" xfId="0" applyNumberFormat="1" applyFont="1" applyFill="1" applyBorder="1" applyAlignment="1" applyProtection="1">
      <alignment horizontal="center"/>
      <protection locked="0"/>
    </xf>
    <xf numFmtId="0" fontId="3" fillId="9" borderId="4" xfId="0" applyNumberFormat="1" applyFont="1" applyFill="1" applyBorder="1" applyAlignment="1" applyProtection="1">
      <alignment horizontal="center"/>
      <protection locked="0"/>
    </xf>
    <xf numFmtId="0" fontId="3" fillId="9" borderId="6" xfId="0" applyNumberFormat="1" applyFont="1" applyFill="1" applyBorder="1" applyAlignment="1" applyProtection="1">
      <alignment horizontal="center"/>
      <protection locked="0"/>
    </xf>
    <xf numFmtId="0" fontId="3" fillId="9" borderId="33" xfId="0" applyNumberFormat="1" applyFont="1" applyFill="1" applyBorder="1" applyAlignment="1" applyProtection="1">
      <alignment horizontal="center"/>
      <protection locked="0"/>
    </xf>
    <xf numFmtId="0" fontId="3" fillId="9" borderId="62" xfId="0" applyNumberFormat="1" applyFont="1" applyFill="1" applyBorder="1" applyAlignment="1" applyProtection="1">
      <alignment horizontal="center"/>
      <protection locked="0"/>
    </xf>
    <xf numFmtId="0" fontId="2" fillId="0" borderId="18" xfId="0" applyFont="1" applyFill="1" applyBorder="1" applyAlignment="1" applyProtection="1">
      <alignment horizontal="center" vertical="center" wrapText="1"/>
      <protection locked="0"/>
    </xf>
    <xf numFmtId="164" fontId="3" fillId="0" borderId="54" xfId="0" applyNumberFormat="1" applyFont="1" applyFill="1" applyBorder="1" applyAlignment="1" applyProtection="1">
      <alignment horizontal="center" vertical="center"/>
      <protection locked="0"/>
    </xf>
    <xf numFmtId="0" fontId="2" fillId="0" borderId="18" xfId="0" applyFont="1" applyFill="1" applyBorder="1" applyAlignment="1" applyProtection="1">
      <alignment horizontal="left" vertical="center" wrapText="1"/>
      <protection locked="0"/>
    </xf>
    <xf numFmtId="0" fontId="2" fillId="0" borderId="19" xfId="0" applyFont="1" applyFill="1" applyBorder="1" applyAlignment="1" applyProtection="1">
      <alignment horizontal="left" vertical="center" wrapText="1"/>
      <protection locked="0"/>
    </xf>
    <xf numFmtId="0" fontId="0" fillId="0" borderId="38" xfId="0" applyBorder="1" applyAlignment="1" applyProtection="1">
      <alignment horizontal="center"/>
      <protection locked="0"/>
    </xf>
    <xf numFmtId="0" fontId="0" fillId="0" borderId="38" xfId="0" applyFont="1" applyFill="1" applyBorder="1" applyAlignment="1" applyProtection="1">
      <alignment horizontal="center"/>
      <protection locked="0"/>
    </xf>
    <xf numFmtId="0" fontId="0" fillId="0" borderId="39" xfId="0" applyFont="1" applyFill="1" applyBorder="1" applyAlignment="1" applyProtection="1">
      <alignment horizontal="center"/>
      <protection locked="0"/>
    </xf>
    <xf numFmtId="0" fontId="1" fillId="0" borderId="0" xfId="0" applyFont="1" applyBorder="1" applyAlignment="1">
      <alignment horizontal="center" vertical="center"/>
    </xf>
    <xf numFmtId="0" fontId="0" fillId="20" borderId="4" xfId="4" applyFont="1" applyBorder="1" applyProtection="1">
      <alignment horizontal="center"/>
      <protection locked="0"/>
    </xf>
    <xf numFmtId="0" fontId="47" fillId="12" borderId="13" xfId="0" applyNumberFormat="1" applyFont="1" applyFill="1" applyBorder="1" applyAlignment="1">
      <alignment horizontal="center"/>
    </xf>
    <xf numFmtId="0" fontId="47" fillId="12" borderId="14" xfId="0" applyNumberFormat="1" applyFont="1" applyFill="1" applyBorder="1" applyAlignment="1">
      <alignment horizontal="center"/>
    </xf>
    <xf numFmtId="0" fontId="47" fillId="12" borderId="15" xfId="0" applyNumberFormat="1" applyFont="1" applyFill="1" applyBorder="1" applyAlignment="1">
      <alignment horizontal="center"/>
    </xf>
    <xf numFmtId="0" fontId="47" fillId="13" borderId="23" xfId="0" applyNumberFormat="1" applyFont="1" applyFill="1" applyBorder="1" applyAlignment="1">
      <alignment horizontal="center"/>
    </xf>
    <xf numFmtId="0" fontId="47" fillId="13" borderId="0" xfId="0" applyNumberFormat="1" applyFont="1" applyFill="1" applyBorder="1" applyAlignment="1">
      <alignment horizontal="center"/>
    </xf>
    <xf numFmtId="0" fontId="47" fillId="13" borderId="27" xfId="0" applyNumberFormat="1" applyFont="1" applyFill="1" applyBorder="1" applyAlignment="1">
      <alignment horizontal="center"/>
    </xf>
    <xf numFmtId="0" fontId="48" fillId="14" borderId="16" xfId="0" applyNumberFormat="1" applyFont="1" applyFill="1" applyBorder="1" applyAlignment="1">
      <alignment horizontal="center"/>
    </xf>
    <xf numFmtId="0" fontId="48" fillId="14" borderId="21" xfId="0" applyNumberFormat="1" applyFont="1" applyFill="1" applyBorder="1" applyAlignment="1">
      <alignment horizontal="center"/>
    </xf>
    <xf numFmtId="0" fontId="48" fillId="14" borderId="22" xfId="0" applyNumberFormat="1" applyFont="1" applyFill="1" applyBorder="1" applyAlignment="1">
      <alignment horizontal="center"/>
    </xf>
    <xf numFmtId="0" fontId="0" fillId="0" borderId="0" xfId="0" applyFont="1" applyFill="1" applyAlignment="1">
      <alignment horizontal="center"/>
    </xf>
    <xf numFmtId="0" fontId="19" fillId="12" borderId="13" xfId="0" applyNumberFormat="1" applyFont="1" applyFill="1" applyBorder="1" applyAlignment="1">
      <alignment horizontal="center"/>
    </xf>
    <xf numFmtId="0" fontId="19" fillId="12" borderId="14" xfId="0" applyNumberFormat="1" applyFont="1" applyFill="1" applyBorder="1" applyAlignment="1">
      <alignment horizontal="center"/>
    </xf>
    <xf numFmtId="0" fontId="19" fillId="12" borderId="15" xfId="0" applyNumberFormat="1" applyFont="1" applyFill="1" applyBorder="1" applyAlignment="1">
      <alignment horizontal="center"/>
    </xf>
    <xf numFmtId="0" fontId="19" fillId="13" borderId="23" xfId="0" applyNumberFormat="1" applyFont="1" applyFill="1" applyBorder="1" applyAlignment="1">
      <alignment horizontal="center"/>
    </xf>
    <xf numFmtId="0" fontId="19" fillId="13" borderId="0" xfId="0" applyNumberFormat="1" applyFont="1" applyFill="1" applyBorder="1" applyAlignment="1">
      <alignment horizontal="center"/>
    </xf>
    <xf numFmtId="0" fontId="19" fillId="13" borderId="27" xfId="0" applyNumberFormat="1" applyFont="1" applyFill="1" applyBorder="1" applyAlignment="1">
      <alignment horizontal="center"/>
    </xf>
    <xf numFmtId="0" fontId="20" fillId="14" borderId="16" xfId="0" applyNumberFormat="1" applyFont="1" applyFill="1" applyBorder="1" applyAlignment="1">
      <alignment horizontal="center"/>
    </xf>
    <xf numFmtId="0" fontId="20" fillId="14" borderId="21" xfId="0" applyNumberFormat="1" applyFont="1" applyFill="1" applyBorder="1" applyAlignment="1">
      <alignment horizontal="center"/>
    </xf>
    <xf numFmtId="0" fontId="20" fillId="14" borderId="22" xfId="0" applyNumberFormat="1" applyFont="1" applyFill="1" applyBorder="1" applyAlignment="1">
      <alignment horizontal="center"/>
    </xf>
    <xf numFmtId="0" fontId="18" fillId="14" borderId="64" xfId="0" applyFont="1" applyFill="1" applyBorder="1" applyAlignment="1">
      <alignment horizontal="center" vertical="center"/>
    </xf>
    <xf numFmtId="0" fontId="18" fillId="14" borderId="65" xfId="0" applyFont="1" applyFill="1" applyBorder="1" applyAlignment="1">
      <alignment horizontal="center" vertical="center"/>
    </xf>
    <xf numFmtId="0" fontId="18" fillId="14" borderId="48" xfId="0" applyFont="1" applyFill="1" applyBorder="1" applyAlignment="1">
      <alignment horizontal="center" vertical="center"/>
    </xf>
    <xf numFmtId="0" fontId="18" fillId="14" borderId="23" xfId="0" applyFont="1" applyFill="1" applyBorder="1" applyAlignment="1">
      <alignment horizontal="center" vertical="center"/>
    </xf>
    <xf numFmtId="0" fontId="18" fillId="14" borderId="0" xfId="0" applyFont="1" applyFill="1" applyBorder="1" applyAlignment="1">
      <alignment horizontal="center" vertical="center"/>
    </xf>
    <xf numFmtId="0" fontId="18" fillId="14" borderId="27" xfId="0" applyFont="1" applyFill="1" applyBorder="1" applyAlignment="1">
      <alignment horizontal="center" vertical="center"/>
    </xf>
    <xf numFmtId="0" fontId="37" fillId="0" borderId="0" xfId="1" applyFont="1" applyBorder="1" applyAlignment="1">
      <alignment horizontal="left"/>
    </xf>
    <xf numFmtId="0" fontId="36" fillId="0" borderId="0" xfId="1" applyFont="1" applyBorder="1" applyAlignment="1">
      <alignment horizontal="left"/>
    </xf>
    <xf numFmtId="165" fontId="36" fillId="0" borderId="0" xfId="1" applyNumberFormat="1" applyFont="1" applyBorder="1" applyAlignment="1">
      <alignment horizontal="left"/>
    </xf>
    <xf numFmtId="0" fontId="36" fillId="0" borderId="0" xfId="1" applyFont="1" applyAlignment="1">
      <alignment horizontal="left"/>
    </xf>
    <xf numFmtId="0" fontId="40" fillId="0" borderId="4" xfId="1" applyFont="1" applyFill="1" applyBorder="1" applyAlignment="1">
      <alignment horizontal="center"/>
    </xf>
    <xf numFmtId="0" fontId="40" fillId="0" borderId="1" xfId="1" applyFont="1" applyFill="1" applyBorder="1" applyAlignment="1">
      <alignment horizontal="center"/>
    </xf>
    <xf numFmtId="0" fontId="40" fillId="0" borderId="5" xfId="1" applyFont="1" applyFill="1" applyBorder="1" applyAlignment="1">
      <alignment horizontal="center"/>
    </xf>
    <xf numFmtId="0" fontId="36" fillId="15" borderId="47" xfId="1" applyFont="1" applyFill="1" applyBorder="1" applyAlignment="1">
      <alignment horizontal="left" vertical="center"/>
    </xf>
    <xf numFmtId="0" fontId="36" fillId="15" borderId="42" xfId="1" applyFont="1" applyFill="1" applyBorder="1" applyAlignment="1">
      <alignment horizontal="left" vertical="center"/>
    </xf>
    <xf numFmtId="0" fontId="36" fillId="15" borderId="43" xfId="1" applyFont="1" applyFill="1" applyBorder="1" applyAlignment="1">
      <alignment horizontal="left" vertical="center"/>
    </xf>
    <xf numFmtId="0" fontId="36" fillId="0" borderId="47" xfId="1" applyFont="1" applyBorder="1" applyAlignment="1">
      <alignment horizontal="center" vertical="center"/>
    </xf>
    <xf numFmtId="0" fontId="36" fillId="0" borderId="42" xfId="1" applyFont="1" applyBorder="1" applyAlignment="1">
      <alignment horizontal="center" vertical="center"/>
    </xf>
    <xf numFmtId="0" fontId="36" fillId="0" borderId="43" xfId="1" applyFont="1" applyBorder="1" applyAlignment="1">
      <alignment horizontal="center" vertical="center"/>
    </xf>
    <xf numFmtId="0" fontId="36" fillId="15" borderId="47" xfId="1" applyFont="1" applyFill="1" applyBorder="1" applyAlignment="1" applyProtection="1">
      <alignment horizontal="center" vertical="center"/>
      <protection locked="0"/>
    </xf>
    <xf numFmtId="0" fontId="36" fillId="15" borderId="43" xfId="1" applyFont="1" applyFill="1" applyBorder="1" applyAlignment="1" applyProtection="1">
      <alignment horizontal="center" vertical="center"/>
      <protection locked="0"/>
    </xf>
    <xf numFmtId="0" fontId="40" fillId="0" borderId="33" xfId="1" applyFont="1" applyFill="1" applyBorder="1" applyAlignment="1">
      <alignment horizontal="left" vertical="center"/>
    </xf>
    <xf numFmtId="0" fontId="40" fillId="0" borderId="28" xfId="1" applyFont="1" applyFill="1" applyBorder="1" applyAlignment="1">
      <alignment horizontal="left" vertical="center"/>
    </xf>
    <xf numFmtId="0" fontId="40" fillId="0" borderId="36" xfId="1" applyFont="1" applyFill="1" applyBorder="1" applyAlignment="1">
      <alignment horizontal="left" vertical="center"/>
    </xf>
    <xf numFmtId="0" fontId="40" fillId="0" borderId="50" xfId="1" applyFont="1" applyFill="1" applyBorder="1" applyAlignment="1">
      <alignment horizontal="left" vertical="center"/>
    </xf>
    <xf numFmtId="0" fontId="40" fillId="0" borderId="0" xfId="1" applyFont="1" applyFill="1" applyBorder="1" applyAlignment="1">
      <alignment horizontal="left" vertical="center"/>
    </xf>
    <xf numFmtId="0" fontId="40" fillId="0" borderId="51" xfId="1" applyFont="1" applyFill="1" applyBorder="1" applyAlignment="1">
      <alignment horizontal="left" vertical="center"/>
    </xf>
    <xf numFmtId="0" fontId="40" fillId="0" borderId="6" xfId="1" applyFont="1" applyFill="1" applyBorder="1" applyAlignment="1">
      <alignment horizontal="left" vertical="center"/>
    </xf>
    <xf numFmtId="0" fontId="40" fillId="0" borderId="2" xfId="1" applyFont="1" applyFill="1" applyBorder="1" applyAlignment="1">
      <alignment horizontal="left" vertical="center"/>
    </xf>
    <xf numFmtId="0" fontId="40" fillId="0" borderId="7" xfId="1" applyFont="1" applyFill="1" applyBorder="1" applyAlignment="1">
      <alignment horizontal="left" vertical="center"/>
    </xf>
    <xf numFmtId="0" fontId="36" fillId="0" borderId="0" xfId="1" applyFont="1" applyBorder="1" applyAlignment="1">
      <alignment horizontal="left" vertical="top" wrapText="1"/>
    </xf>
    <xf numFmtId="0" fontId="36" fillId="0" borderId="0" xfId="1" applyFont="1" applyBorder="1" applyAlignment="1">
      <alignment horizontal="left" vertical="center" wrapText="1"/>
    </xf>
    <xf numFmtId="0" fontId="18" fillId="0" borderId="63" xfId="1" applyFont="1" applyBorder="1" applyAlignment="1">
      <alignment horizontal="center"/>
    </xf>
    <xf numFmtId="0" fontId="37" fillId="0" borderId="40" xfId="1" applyFont="1" applyBorder="1" applyAlignment="1">
      <alignment horizontal="center" wrapText="1"/>
    </xf>
    <xf numFmtId="0" fontId="37" fillId="0" borderId="40" xfId="1" applyFont="1" applyBorder="1" applyAlignment="1" applyProtection="1">
      <alignment horizontal="center" wrapText="1"/>
      <protection locked="0"/>
    </xf>
    <xf numFmtId="0" fontId="37" fillId="0" borderId="45" xfId="1" applyFont="1" applyBorder="1" applyAlignment="1">
      <alignment horizontal="center" wrapText="1"/>
    </xf>
    <xf numFmtId="0" fontId="37" fillId="15" borderId="46" xfId="1" applyFont="1" applyFill="1" applyBorder="1" applyAlignment="1">
      <alignment horizontal="center"/>
    </xf>
    <xf numFmtId="0" fontId="42" fillId="0" borderId="49" xfId="0" applyFont="1" applyFill="1" applyBorder="1" applyAlignment="1">
      <alignment horizontal="center" vertical="center" wrapText="1"/>
    </xf>
    <xf numFmtId="0" fontId="42" fillId="0" borderId="31" xfId="0" applyFont="1" applyFill="1" applyBorder="1" applyAlignment="1">
      <alignment horizontal="center" vertical="center" wrapText="1"/>
    </xf>
    <xf numFmtId="0" fontId="40" fillId="0" borderId="41" xfId="1" applyFont="1" applyFill="1" applyBorder="1" applyAlignment="1">
      <alignment horizontal="left"/>
    </xf>
    <xf numFmtId="0" fontId="40" fillId="0" borderId="59" xfId="1" applyFont="1" applyFill="1" applyBorder="1" applyAlignment="1">
      <alignment horizontal="left"/>
    </xf>
    <xf numFmtId="0" fontId="36" fillId="0" borderId="47" xfId="1" applyFont="1" applyBorder="1" applyAlignment="1">
      <alignment horizontal="left" vertical="center"/>
    </xf>
    <xf numFmtId="0" fontId="36" fillId="0" borderId="42" xfId="1" applyFont="1" applyBorder="1" applyAlignment="1">
      <alignment horizontal="left" vertical="center"/>
    </xf>
    <xf numFmtId="0" fontId="36" fillId="0" borderId="43" xfId="1" applyFont="1" applyBorder="1" applyAlignment="1">
      <alignment horizontal="left" vertical="center"/>
    </xf>
    <xf numFmtId="0" fontId="36" fillId="0" borderId="60" xfId="1" applyFont="1" applyBorder="1" applyAlignment="1">
      <alignment horizontal="left" vertical="center"/>
    </xf>
    <xf numFmtId="0" fontId="36" fillId="0" borderId="44" xfId="1" applyFont="1" applyBorder="1" applyAlignment="1">
      <alignment horizontal="left" vertical="center"/>
    </xf>
    <xf numFmtId="0" fontId="36" fillId="0" borderId="61" xfId="1" applyFont="1" applyBorder="1" applyAlignment="1">
      <alignment horizontal="left" vertical="center"/>
    </xf>
    <xf numFmtId="0" fontId="36" fillId="0" borderId="60" xfId="1" applyFont="1" applyBorder="1" applyAlignment="1">
      <alignment horizontal="center" vertical="center"/>
    </xf>
    <xf numFmtId="0" fontId="36" fillId="0" borderId="44" xfId="1" applyFont="1" applyBorder="1" applyAlignment="1">
      <alignment horizontal="center" vertical="center"/>
    </xf>
    <xf numFmtId="0" fontId="36" fillId="0" borderId="61" xfId="1" applyFont="1" applyBorder="1" applyAlignment="1">
      <alignment horizontal="center" vertical="center"/>
    </xf>
    <xf numFmtId="0" fontId="36" fillId="15" borderId="60" xfId="1" applyFont="1" applyFill="1" applyBorder="1" applyAlignment="1" applyProtection="1">
      <alignment horizontal="center" vertical="center"/>
      <protection locked="0"/>
    </xf>
    <xf numFmtId="0" fontId="36" fillId="15" borderId="61" xfId="1" applyFont="1" applyFill="1" applyBorder="1" applyAlignment="1" applyProtection="1">
      <alignment horizontal="center" vertical="center"/>
      <protection locked="0"/>
    </xf>
    <xf numFmtId="0" fontId="41" fillId="0" borderId="3" xfId="1" applyFont="1" applyBorder="1" applyAlignment="1">
      <alignment horizontal="left" vertical="center"/>
    </xf>
    <xf numFmtId="0" fontId="3" fillId="0" borderId="3" xfId="1" applyBorder="1" applyAlignment="1">
      <alignment horizontal="center" vertical="center"/>
    </xf>
    <xf numFmtId="0" fontId="36" fillId="0" borderId="3" xfId="1" applyFont="1" applyBorder="1" applyAlignment="1">
      <alignment horizontal="center" vertical="center"/>
    </xf>
    <xf numFmtId="0" fontId="36" fillId="0" borderId="3" xfId="1" applyFont="1" applyBorder="1" applyAlignment="1">
      <alignment horizontal="left" vertical="center"/>
    </xf>
    <xf numFmtId="0" fontId="36" fillId="0" borderId="49" xfId="1" applyFont="1" applyBorder="1" applyAlignment="1">
      <alignment horizontal="left" vertical="center"/>
    </xf>
    <xf numFmtId="0" fontId="36" fillId="0" borderId="49" xfId="1" applyFont="1" applyBorder="1" applyAlignment="1">
      <alignment horizontal="center" vertical="center"/>
    </xf>
    <xf numFmtId="0" fontId="36" fillId="0" borderId="2" xfId="1" applyFont="1" applyBorder="1" applyAlignment="1">
      <alignment horizontal="left" vertical="top" wrapText="1"/>
    </xf>
    <xf numFmtId="0" fontId="36" fillId="0" borderId="47" xfId="1" applyFont="1" applyBorder="1" applyAlignment="1">
      <alignment horizontal="center"/>
    </xf>
    <xf numFmtId="0" fontId="36" fillId="0" borderId="42" xfId="1" applyFont="1" applyBorder="1" applyAlignment="1">
      <alignment horizontal="center"/>
    </xf>
    <xf numFmtId="0" fontId="36" fillId="0" borderId="43" xfId="1" applyFont="1" applyBorder="1" applyAlignment="1">
      <alignment horizontal="center"/>
    </xf>
    <xf numFmtId="0" fontId="36" fillId="0" borderId="41" xfId="1" applyFont="1" applyBorder="1" applyAlignment="1">
      <alignment horizontal="center"/>
    </xf>
    <xf numFmtId="0" fontId="6" fillId="2" borderId="0" xfId="1" applyFont="1" applyFill="1" applyAlignment="1">
      <alignment horizontal="left" vertical="center"/>
    </xf>
    <xf numFmtId="0" fontId="6" fillId="2" borderId="0" xfId="1" applyFont="1" applyFill="1" applyAlignment="1">
      <alignment horizontal="center" vertical="center"/>
    </xf>
    <xf numFmtId="0" fontId="6" fillId="2" borderId="28" xfId="1" applyFont="1" applyFill="1" applyBorder="1" applyAlignment="1">
      <alignment horizontal="left" vertical="center"/>
    </xf>
    <xf numFmtId="0" fontId="6" fillId="2" borderId="28" xfId="1" applyFont="1" applyFill="1" applyBorder="1" applyAlignment="1">
      <alignment horizontal="center" vertical="center"/>
    </xf>
    <xf numFmtId="0" fontId="30" fillId="2" borderId="4" xfId="1" applyFont="1" applyFill="1" applyBorder="1" applyAlignment="1">
      <alignment horizontal="left" vertical="center"/>
    </xf>
    <xf numFmtId="0" fontId="30" fillId="2" borderId="1" xfId="1" applyFont="1" applyFill="1" applyBorder="1" applyAlignment="1">
      <alignment horizontal="left" vertical="center"/>
    </xf>
    <xf numFmtId="0" fontId="30" fillId="2" borderId="5" xfId="1" applyFont="1" applyFill="1" applyBorder="1" applyAlignment="1">
      <alignment horizontal="left" vertical="center"/>
    </xf>
    <xf numFmtId="0" fontId="30" fillId="2" borderId="4" xfId="1" applyFont="1" applyFill="1" applyBorder="1" applyAlignment="1">
      <alignment horizontal="center" vertical="center"/>
    </xf>
    <xf numFmtId="0" fontId="30" fillId="2" borderId="5" xfId="1" applyFont="1" applyFill="1" applyBorder="1" applyAlignment="1">
      <alignment horizontal="center" vertical="center"/>
    </xf>
    <xf numFmtId="0" fontId="30" fillId="2" borderId="1" xfId="1" applyFont="1" applyFill="1" applyBorder="1" applyAlignment="1">
      <alignment horizontal="center" vertical="center"/>
    </xf>
    <xf numFmtId="0" fontId="29" fillId="2" borderId="4" xfId="1" applyFont="1" applyFill="1" applyBorder="1" applyAlignment="1">
      <alignment horizontal="left" vertical="center"/>
    </xf>
    <xf numFmtId="0" fontId="29" fillId="2" borderId="1" xfId="1" applyFont="1" applyFill="1" applyBorder="1" applyAlignment="1">
      <alignment horizontal="left" vertical="center"/>
    </xf>
    <xf numFmtId="0" fontId="29" fillId="2" borderId="5" xfId="1" applyFont="1" applyFill="1" applyBorder="1" applyAlignment="1">
      <alignment horizontal="left" vertical="center"/>
    </xf>
    <xf numFmtId="0" fontId="29" fillId="2" borderId="4" xfId="1" applyFont="1" applyFill="1" applyBorder="1" applyAlignment="1">
      <alignment horizontal="center" vertical="center"/>
    </xf>
    <xf numFmtId="0" fontId="29" fillId="2" borderId="5" xfId="1" applyFont="1" applyFill="1" applyBorder="1" applyAlignment="1">
      <alignment horizontal="center" vertical="center"/>
    </xf>
    <xf numFmtId="0" fontId="29" fillId="2" borderId="1" xfId="1" applyFont="1" applyFill="1" applyBorder="1" applyAlignment="1">
      <alignment horizontal="center" vertical="center"/>
    </xf>
    <xf numFmtId="0" fontId="32" fillId="2" borderId="4" xfId="1" applyFont="1" applyFill="1" applyBorder="1" applyAlignment="1">
      <alignment horizontal="center"/>
    </xf>
    <xf numFmtId="0" fontId="32" fillId="2" borderId="1" xfId="1" applyFont="1" applyFill="1" applyBorder="1" applyAlignment="1">
      <alignment horizontal="center"/>
    </xf>
    <xf numFmtId="0" fontId="32" fillId="2" borderId="5" xfId="1" applyFont="1" applyFill="1" applyBorder="1" applyAlignment="1">
      <alignment horizontal="center"/>
    </xf>
    <xf numFmtId="0" fontId="29" fillId="2" borderId="4" xfId="1" applyFont="1" applyFill="1" applyBorder="1" applyAlignment="1">
      <alignment horizontal="center" vertical="center" wrapText="1" shrinkToFit="1"/>
    </xf>
    <xf numFmtId="0" fontId="29" fillId="2" borderId="5" xfId="1" applyFont="1" applyFill="1" applyBorder="1" applyAlignment="1">
      <alignment horizontal="center" vertical="center" wrapText="1" shrinkToFit="1"/>
    </xf>
    <xf numFmtId="0" fontId="29" fillId="2" borderId="4" xfId="1" applyFont="1" applyFill="1" applyBorder="1" applyAlignment="1">
      <alignment horizontal="center" wrapText="1"/>
    </xf>
    <xf numFmtId="0" fontId="29" fillId="2" borderId="1" xfId="1" applyFont="1" applyFill="1" applyBorder="1" applyAlignment="1">
      <alignment horizontal="center" wrapText="1"/>
    </xf>
    <xf numFmtId="0" fontId="29" fillId="2" borderId="5" xfId="1" applyFont="1" applyFill="1" applyBorder="1" applyAlignment="1">
      <alignment horizontal="center" wrapText="1"/>
    </xf>
    <xf numFmtId="0" fontId="29" fillId="2" borderId="6" xfId="1" applyFont="1" applyFill="1" applyBorder="1" applyAlignment="1">
      <alignment horizontal="left" vertical="center"/>
    </xf>
    <xf numFmtId="0" fontId="29" fillId="2" borderId="2" xfId="1" applyFont="1" applyFill="1" applyBorder="1" applyAlignment="1">
      <alignment horizontal="left" vertical="center"/>
    </xf>
    <xf numFmtId="0" fontId="29" fillId="2" borderId="7" xfId="1" applyFont="1" applyFill="1" applyBorder="1" applyAlignment="1">
      <alignment horizontal="left" vertical="center"/>
    </xf>
    <xf numFmtId="0" fontId="29" fillId="2" borderId="6" xfId="1" applyFont="1" applyFill="1" applyBorder="1" applyAlignment="1">
      <alignment horizontal="center" vertical="center"/>
    </xf>
    <xf numFmtId="0" fontId="29" fillId="2" borderId="7" xfId="1" applyFont="1" applyFill="1" applyBorder="1" applyAlignment="1">
      <alignment horizontal="center" vertical="center"/>
    </xf>
    <xf numFmtId="0" fontId="29" fillId="2" borderId="2" xfId="1" applyFont="1" applyFill="1" applyBorder="1" applyAlignment="1">
      <alignment horizontal="center" vertical="center"/>
    </xf>
    <xf numFmtId="0" fontId="33" fillId="2" borderId="2" xfId="1" applyFont="1" applyFill="1" applyBorder="1" applyAlignment="1">
      <alignment horizontal="center" vertical="center"/>
    </xf>
    <xf numFmtId="0" fontId="3" fillId="0" borderId="47" xfId="1" applyBorder="1" applyAlignment="1">
      <alignment horizontal="center"/>
    </xf>
    <xf numFmtId="0" fontId="3" fillId="0" borderId="42" xfId="1" applyBorder="1" applyAlignment="1">
      <alignment horizontal="center"/>
    </xf>
    <xf numFmtId="0" fontId="3" fillId="0" borderId="43" xfId="1" applyBorder="1" applyAlignment="1">
      <alignment horizontal="center"/>
    </xf>
    <xf numFmtId="0" fontId="6" fillId="15" borderId="47" xfId="1" applyFont="1" applyFill="1" applyBorder="1" applyAlignment="1" applyProtection="1">
      <alignment horizontal="center" vertical="center"/>
      <protection locked="0"/>
    </xf>
    <xf numFmtId="0" fontId="6" fillId="15" borderId="43" xfId="1" applyFont="1" applyFill="1" applyBorder="1" applyAlignment="1" applyProtection="1">
      <alignment horizontal="center" vertical="center"/>
      <protection locked="0"/>
    </xf>
    <xf numFmtId="0" fontId="8" fillId="0" borderId="42" xfId="1" applyFont="1" applyBorder="1" applyAlignment="1">
      <alignment horizontal="center"/>
    </xf>
    <xf numFmtId="0" fontId="23" fillId="0" borderId="40" xfId="1" applyFont="1" applyBorder="1" applyAlignment="1">
      <alignment horizontal="center" wrapText="1"/>
    </xf>
    <xf numFmtId="0" fontId="23" fillId="0" borderId="40" xfId="1" applyFont="1" applyBorder="1" applyAlignment="1" applyProtection="1">
      <alignment horizontal="center" wrapText="1"/>
      <protection locked="0"/>
    </xf>
    <xf numFmtId="0" fontId="23" fillId="0" borderId="45" xfId="1" applyFont="1" applyBorder="1" applyAlignment="1">
      <alignment horizontal="center" wrapText="1"/>
    </xf>
    <xf numFmtId="0" fontId="23" fillId="15" borderId="46" xfId="1" applyFont="1" applyFill="1" applyBorder="1" applyAlignment="1">
      <alignment horizontal="center"/>
    </xf>
    <xf numFmtId="0" fontId="8" fillId="0" borderId="41" xfId="1" applyFont="1" applyBorder="1" applyAlignment="1">
      <alignment horizontal="center"/>
    </xf>
    <xf numFmtId="0" fontId="3" fillId="0" borderId="42" xfId="1" applyFont="1" applyBorder="1" applyAlignment="1">
      <alignment vertical="center"/>
    </xf>
    <xf numFmtId="0" fontId="27" fillId="0" borderId="41" xfId="1" applyFont="1" applyBorder="1" applyAlignment="1">
      <alignment horizontal="center"/>
    </xf>
    <xf numFmtId="0" fontId="23" fillId="0" borderId="0" xfId="1" applyFont="1" applyBorder="1"/>
    <xf numFmtId="165" fontId="23" fillId="0" borderId="0" xfId="1" applyNumberFormat="1" applyFont="1" applyBorder="1" applyAlignment="1">
      <alignment horizontal="left"/>
    </xf>
    <xf numFmtId="0" fontId="21" fillId="0" borderId="40" xfId="1" applyFont="1" applyBorder="1" applyAlignment="1">
      <alignment horizontal="center"/>
    </xf>
    <xf numFmtId="0" fontId="3" fillId="0" borderId="0" xfId="1" applyFont="1" applyBorder="1" applyAlignment="1">
      <alignment horizontal="left" vertical="top" wrapText="1"/>
    </xf>
    <xf numFmtId="0" fontId="3" fillId="0" borderId="2" xfId="1" applyFont="1" applyBorder="1" applyAlignment="1">
      <alignment horizontal="left" vertical="top" wrapText="1"/>
    </xf>
    <xf numFmtId="0" fontId="3" fillId="0" borderId="42" xfId="1" applyFont="1" applyBorder="1" applyAlignment="1">
      <alignment horizontal="left"/>
    </xf>
    <xf numFmtId="0" fontId="3" fillId="0" borderId="42" xfId="1" applyFont="1" applyBorder="1" applyAlignment="1">
      <alignment horizontal="left" vertical="center"/>
    </xf>
    <xf numFmtId="0" fontId="0" fillId="0" borderId="16" xfId="0" applyBorder="1" applyAlignment="1">
      <alignment horizontal="center"/>
    </xf>
    <xf numFmtId="0" fontId="0" fillId="0" borderId="22" xfId="0" applyBorder="1" applyAlignment="1">
      <alignment horizontal="center"/>
    </xf>
    <xf numFmtId="0" fontId="0" fillId="0" borderId="13" xfId="0" applyBorder="1" applyAlignment="1">
      <alignment horizontal="center" vertical="top"/>
    </xf>
    <xf numFmtId="0" fontId="0" fillId="0" borderId="15" xfId="0" applyBorder="1" applyAlignment="1">
      <alignment horizontal="center" vertical="top"/>
    </xf>
    <xf numFmtId="0" fontId="0" fillId="0" borderId="23" xfId="0" applyBorder="1" applyAlignment="1">
      <alignment horizontal="center" vertical="top"/>
    </xf>
    <xf numFmtId="0" fontId="0" fillId="0" borderId="27" xfId="0" applyBorder="1" applyAlignment="1">
      <alignment horizontal="center" vertical="top"/>
    </xf>
    <xf numFmtId="0" fontId="0" fillId="0" borderId="23" xfId="0" applyBorder="1" applyAlignment="1">
      <alignment horizontal="center"/>
    </xf>
    <xf numFmtId="0" fontId="0" fillId="0" borderId="27" xfId="0" applyBorder="1" applyAlignment="1">
      <alignment horizontal="center"/>
    </xf>
    <xf numFmtId="0" fontId="4" fillId="7" borderId="24" xfId="0" applyNumberFormat="1" applyFont="1" applyFill="1" applyBorder="1" applyAlignment="1">
      <alignment horizontal="center" vertical="center" textRotation="90" wrapText="1"/>
    </xf>
    <xf numFmtId="0" fontId="4" fillId="7" borderId="25" xfId="0" applyNumberFormat="1" applyFont="1" applyFill="1" applyBorder="1" applyAlignment="1">
      <alignment horizontal="center" vertical="center" textRotation="90" wrapText="1"/>
    </xf>
    <xf numFmtId="0" fontId="0" fillId="20" borderId="20" xfId="4" applyFont="1" applyBorder="1" applyProtection="1">
      <alignment horizontal="center"/>
      <protection locked="0"/>
    </xf>
    <xf numFmtId="164" fontId="3" fillId="14" borderId="54" xfId="0" applyNumberFormat="1" applyFont="1" applyFill="1" applyBorder="1" applyAlignment="1" applyProtection="1">
      <alignment horizontal="center"/>
      <protection locked="0"/>
    </xf>
    <xf numFmtId="0" fontId="3" fillId="17" borderId="53" xfId="0" applyNumberFormat="1" applyFont="1" applyFill="1" applyBorder="1" applyAlignment="1" applyProtection="1">
      <alignment horizontal="center"/>
      <protection locked="0"/>
    </xf>
    <xf numFmtId="0" fontId="3" fillId="17" borderId="20" xfId="0" applyNumberFormat="1" applyFont="1" applyFill="1" applyBorder="1" applyAlignment="1" applyProtection="1">
      <alignment horizontal="center"/>
      <protection locked="0"/>
    </xf>
    <xf numFmtId="0" fontId="3" fillId="9" borderId="53" xfId="0" applyNumberFormat="1" applyFont="1" applyFill="1" applyBorder="1" applyAlignment="1" applyProtection="1">
      <alignment horizontal="center"/>
      <protection locked="0"/>
    </xf>
    <xf numFmtId="0" fontId="3" fillId="9" borderId="20" xfId="0" applyNumberFormat="1" applyFont="1" applyFill="1" applyBorder="1" applyAlignment="1" applyProtection="1">
      <alignment horizontal="center"/>
      <protection locked="0"/>
    </xf>
    <xf numFmtId="0" fontId="3" fillId="16" borderId="53" xfId="0" applyNumberFormat="1" applyFont="1" applyFill="1" applyBorder="1" applyAlignment="1" applyProtection="1">
      <alignment horizontal="center"/>
      <protection locked="0"/>
    </xf>
    <xf numFmtId="0" fontId="3" fillId="0" borderId="20" xfId="0" applyNumberFormat="1" applyFont="1" applyFill="1" applyBorder="1" applyAlignment="1" applyProtection="1">
      <protection locked="0"/>
    </xf>
    <xf numFmtId="0" fontId="3" fillId="0" borderId="54" xfId="3" applyBorder="1" applyProtection="1">
      <alignment vertical="center" wrapText="1"/>
      <protection locked="0"/>
    </xf>
    <xf numFmtId="0" fontId="0" fillId="0" borderId="54" xfId="0" applyBorder="1" applyAlignment="1" applyProtection="1">
      <alignment horizontal="center"/>
      <protection locked="0"/>
    </xf>
  </cellXfs>
  <cellStyles count="5">
    <cellStyle name="DRAWING TITLE" xfId="3"/>
    <cellStyle name="DWG_NUMBER_AUTO" xfId="4"/>
    <cellStyle name="Hyperlink" xfId="2" builtinId="8"/>
    <cellStyle name="Normal" xfId="0" builtinId="0"/>
    <cellStyle name="Normal 2" xfId="1"/>
  </cellStyles>
  <dxfs count="79">
    <dxf>
      <font>
        <b/>
        <i val="0"/>
        <strike val="0"/>
        <u/>
        <color rgb="FFFF0000"/>
      </font>
    </dxf>
    <dxf>
      <font>
        <b/>
        <i val="0"/>
        <color rgb="FFFF0000"/>
      </font>
      <fill>
        <patternFill patternType="none">
          <bgColor auto="1"/>
        </patternFill>
      </fill>
    </dxf>
    <dxf>
      <font>
        <b/>
        <i val="0"/>
        <strike val="0"/>
        <u/>
        <color rgb="FFFF0000"/>
      </font>
    </dxf>
    <dxf>
      <font>
        <b/>
        <i val="0"/>
        <color rgb="FFFF0000"/>
      </font>
      <fill>
        <patternFill patternType="none">
          <bgColor auto="1"/>
        </patternFill>
      </fill>
    </dxf>
    <dxf>
      <font>
        <b/>
        <i val="0"/>
        <strike val="0"/>
        <u/>
        <color rgb="FFFF0000"/>
      </font>
    </dxf>
    <dxf>
      <font>
        <b/>
        <i val="0"/>
        <color rgb="FFFF0000"/>
      </font>
      <fill>
        <patternFill patternType="none">
          <bgColor auto="1"/>
        </patternFill>
      </fill>
    </dxf>
    <dxf>
      <font>
        <b/>
        <i val="0"/>
        <strike val="0"/>
        <u/>
        <color rgb="FFFF0000"/>
      </font>
    </dxf>
    <dxf>
      <font>
        <b/>
        <i val="0"/>
        <color rgb="FFFF0000"/>
      </font>
      <fill>
        <patternFill patternType="none">
          <bgColor auto="1"/>
        </patternFill>
      </fill>
    </dxf>
    <dxf>
      <font>
        <b/>
        <i val="0"/>
        <strike val="0"/>
        <u/>
        <color rgb="FFFF0000"/>
      </font>
    </dxf>
    <dxf>
      <font>
        <b/>
        <i val="0"/>
        <color rgb="FFFF0000"/>
      </font>
      <fill>
        <patternFill patternType="none">
          <bgColor auto="1"/>
        </patternFill>
      </fill>
    </dxf>
    <dxf>
      <font>
        <b/>
        <i val="0"/>
        <strike val="0"/>
        <u/>
        <color rgb="FFFF0000"/>
      </font>
    </dxf>
    <dxf>
      <font>
        <b/>
        <i val="0"/>
        <color rgb="FFFF0000"/>
      </font>
      <fill>
        <patternFill patternType="none">
          <bgColor auto="1"/>
        </patternFill>
      </fill>
    </dxf>
    <dxf>
      <font>
        <b/>
        <i val="0"/>
        <strike val="0"/>
        <u/>
        <color rgb="FFFF0000"/>
      </font>
    </dxf>
    <dxf>
      <font>
        <b/>
        <i val="0"/>
        <color rgb="FFFF0000"/>
      </font>
      <fill>
        <patternFill patternType="none">
          <bgColor auto="1"/>
        </patternFill>
      </fill>
    </dxf>
    <dxf>
      <font>
        <b/>
        <i val="0"/>
        <strike val="0"/>
        <u/>
        <color rgb="FFFF0000"/>
      </font>
    </dxf>
    <dxf>
      <font>
        <b/>
        <i val="0"/>
        <color rgb="FFFF0000"/>
      </font>
      <fill>
        <patternFill patternType="none">
          <bgColor auto="1"/>
        </patternFill>
      </fill>
    </dxf>
    <dxf>
      <font>
        <b/>
        <i val="0"/>
        <strike val="0"/>
        <u/>
        <color rgb="FFFF0000"/>
      </font>
    </dxf>
    <dxf>
      <font>
        <b/>
        <i val="0"/>
        <color rgb="FFFF0000"/>
      </font>
      <fill>
        <patternFill patternType="none">
          <bgColor auto="1"/>
        </patternFill>
      </fill>
    </dxf>
    <dxf>
      <font>
        <b/>
        <i val="0"/>
        <strike val="0"/>
        <u/>
        <color rgb="FFFF0000"/>
      </font>
    </dxf>
    <dxf>
      <font>
        <b/>
        <i val="0"/>
        <color rgb="FFFF0000"/>
      </font>
      <fill>
        <patternFill patternType="none">
          <bgColor auto="1"/>
        </patternFill>
      </fill>
    </dxf>
    <dxf>
      <font>
        <b/>
        <i val="0"/>
        <strike val="0"/>
        <u/>
        <color rgb="FFFF0000"/>
      </font>
    </dxf>
    <dxf>
      <font>
        <b/>
        <i val="0"/>
        <color rgb="FFFF0000"/>
      </font>
      <fill>
        <patternFill patternType="none">
          <bgColor auto="1"/>
        </patternFill>
      </fill>
    </dxf>
    <dxf>
      <font>
        <b/>
        <i val="0"/>
        <strike val="0"/>
        <u/>
        <color rgb="FFFF0000"/>
      </font>
    </dxf>
    <dxf>
      <font>
        <b/>
        <i val="0"/>
        <color rgb="FFFF0000"/>
      </font>
      <fill>
        <patternFill patternType="none">
          <bgColor auto="1"/>
        </patternFill>
      </fill>
    </dxf>
    <dxf>
      <font>
        <b/>
        <i val="0"/>
        <strike val="0"/>
        <u/>
        <color rgb="FFFF0000"/>
      </font>
    </dxf>
    <dxf>
      <font>
        <b/>
        <i val="0"/>
        <color rgb="FFFF0000"/>
      </font>
      <fill>
        <patternFill patternType="none">
          <bgColor auto="1"/>
        </patternFill>
      </fill>
    </dxf>
    <dxf>
      <font>
        <b/>
        <i val="0"/>
        <strike val="0"/>
        <u/>
        <color rgb="FFFF0000"/>
      </font>
    </dxf>
    <dxf>
      <font>
        <b/>
        <i val="0"/>
        <color rgb="FFFF0000"/>
      </font>
      <fill>
        <patternFill patternType="none">
          <bgColor auto="1"/>
        </patternFill>
      </fill>
    </dxf>
    <dxf>
      <font>
        <b/>
        <i val="0"/>
        <strike val="0"/>
        <u/>
        <color rgb="FFFF0000"/>
      </font>
    </dxf>
    <dxf>
      <font>
        <b/>
        <i val="0"/>
        <color rgb="FFFF0000"/>
      </font>
      <fill>
        <patternFill patternType="none">
          <bgColor auto="1"/>
        </patternFill>
      </fill>
    </dxf>
    <dxf>
      <font>
        <b/>
        <i val="0"/>
        <strike val="0"/>
        <u/>
        <color rgb="FFFF0000"/>
      </font>
    </dxf>
    <dxf>
      <font>
        <b/>
        <i val="0"/>
        <color rgb="FFFF0000"/>
      </font>
      <fill>
        <patternFill patternType="none">
          <bgColor auto="1"/>
        </patternFill>
      </fill>
    </dxf>
    <dxf>
      <font>
        <b/>
        <i val="0"/>
        <strike val="0"/>
        <u/>
        <color rgb="FFFF0000"/>
      </font>
    </dxf>
    <dxf>
      <font>
        <b/>
        <i val="0"/>
        <color rgb="FFFF0000"/>
      </font>
      <fill>
        <patternFill patternType="none">
          <bgColor auto="1"/>
        </patternFill>
      </fill>
    </dxf>
    <dxf>
      <font>
        <b/>
        <i val="0"/>
        <strike val="0"/>
        <u/>
        <color rgb="FFFF0000"/>
      </font>
    </dxf>
    <dxf>
      <font>
        <b/>
        <i val="0"/>
        <color rgb="FFFF0000"/>
      </font>
      <fill>
        <patternFill patternType="none">
          <bgColor auto="1"/>
        </patternFill>
      </fill>
    </dxf>
    <dxf>
      <font>
        <b/>
        <i val="0"/>
        <strike val="0"/>
        <u/>
        <color rgb="FFFF0000"/>
      </font>
    </dxf>
    <dxf>
      <font>
        <b/>
        <i val="0"/>
        <color rgb="FFFF0000"/>
      </font>
      <fill>
        <patternFill patternType="none">
          <bgColor auto="1"/>
        </patternFill>
      </fill>
    </dxf>
    <dxf>
      <font>
        <b/>
        <i val="0"/>
        <strike val="0"/>
        <u/>
        <color rgb="FFFF0000"/>
      </font>
    </dxf>
    <dxf>
      <font>
        <b/>
        <i val="0"/>
        <color rgb="FFFF0000"/>
      </font>
      <fill>
        <patternFill patternType="none">
          <bgColor auto="1"/>
        </patternFill>
      </fill>
    </dxf>
    <dxf>
      <font>
        <b/>
        <i val="0"/>
        <strike val="0"/>
        <u/>
        <color rgb="FFFF0000"/>
      </font>
    </dxf>
    <dxf>
      <font>
        <b/>
        <i val="0"/>
        <color rgb="FFFF0000"/>
      </font>
      <fill>
        <patternFill patternType="none">
          <bgColor auto="1"/>
        </patternFill>
      </fill>
    </dxf>
    <dxf>
      <font>
        <b/>
        <i val="0"/>
        <strike val="0"/>
        <u/>
        <color rgb="FFFF0000"/>
      </font>
    </dxf>
    <dxf>
      <font>
        <b/>
        <i val="0"/>
        <color rgb="FFFF0000"/>
      </font>
      <fill>
        <patternFill patternType="none">
          <bgColor auto="1"/>
        </patternFill>
      </fill>
    </dxf>
    <dxf>
      <font>
        <b/>
        <i val="0"/>
        <strike val="0"/>
        <u/>
        <color rgb="FFFF0000"/>
      </font>
    </dxf>
    <dxf>
      <font>
        <b/>
        <i val="0"/>
        <color rgb="FFFF0000"/>
      </font>
      <fill>
        <patternFill patternType="none">
          <bgColor auto="1"/>
        </patternFill>
      </fill>
    </dxf>
    <dxf>
      <font>
        <b/>
        <i val="0"/>
        <strike val="0"/>
        <u/>
        <color rgb="FFFF0000"/>
      </font>
    </dxf>
    <dxf>
      <font>
        <b/>
        <i val="0"/>
        <color rgb="FFFF0000"/>
      </font>
      <fill>
        <patternFill patternType="none">
          <bgColor auto="1"/>
        </patternFill>
      </fill>
    </dxf>
    <dxf>
      <font>
        <b/>
        <i val="0"/>
        <strike val="0"/>
        <u/>
        <color rgb="FFFF0000"/>
      </font>
    </dxf>
    <dxf>
      <font>
        <b/>
        <i val="0"/>
        <color rgb="FFFF0000"/>
      </font>
      <fill>
        <patternFill patternType="none">
          <bgColor auto="1"/>
        </patternFill>
      </fill>
    </dxf>
    <dxf>
      <font>
        <b/>
        <i val="0"/>
        <strike val="0"/>
        <u/>
        <color rgb="FFFF0000"/>
      </font>
    </dxf>
    <dxf>
      <font>
        <b/>
        <i val="0"/>
        <color rgb="FFFF0000"/>
      </font>
      <fill>
        <patternFill patternType="none">
          <bgColor auto="1"/>
        </patternFill>
      </fill>
    </dxf>
    <dxf>
      <font>
        <b/>
        <i val="0"/>
        <strike val="0"/>
        <u/>
        <color rgb="FFFF0000"/>
      </font>
    </dxf>
    <dxf>
      <font>
        <b/>
        <i val="0"/>
        <color rgb="FFFF0000"/>
      </font>
      <fill>
        <patternFill patternType="none">
          <bgColor auto="1"/>
        </patternFill>
      </fill>
    </dxf>
    <dxf>
      <font>
        <b/>
        <i val="0"/>
        <strike val="0"/>
        <u/>
        <color rgb="FFFF0000"/>
      </font>
    </dxf>
    <dxf>
      <font>
        <b/>
        <i val="0"/>
        <color rgb="FFFF0000"/>
      </font>
      <fill>
        <patternFill patternType="none">
          <bgColor auto="1"/>
        </patternFill>
      </fill>
    </dxf>
    <dxf>
      <font>
        <b/>
        <i val="0"/>
        <strike val="0"/>
        <u/>
        <color rgb="FFFF0000"/>
      </font>
    </dxf>
    <dxf>
      <font>
        <b/>
        <i val="0"/>
        <color rgb="FFFF0000"/>
      </font>
      <fill>
        <patternFill patternType="none">
          <bgColor auto="1"/>
        </patternFill>
      </fill>
    </dxf>
    <dxf>
      <font>
        <b/>
        <i val="0"/>
        <strike val="0"/>
        <u/>
        <color rgb="FFFF0000"/>
      </font>
    </dxf>
    <dxf>
      <font>
        <b/>
        <i val="0"/>
        <color rgb="FFFF0000"/>
      </font>
      <fill>
        <patternFill patternType="none">
          <bgColor auto="1"/>
        </patternFill>
      </fill>
    </dxf>
    <dxf>
      <font>
        <b/>
        <i val="0"/>
        <strike val="0"/>
        <u/>
        <color rgb="FFFF0000"/>
      </font>
    </dxf>
    <dxf>
      <font>
        <b/>
        <i val="0"/>
        <color rgb="FFFF0000"/>
      </font>
      <fill>
        <patternFill patternType="none">
          <bgColor auto="1"/>
        </patternFill>
      </fill>
    </dxf>
    <dxf>
      <font>
        <b/>
        <i val="0"/>
        <strike val="0"/>
        <u/>
        <color rgb="FFFF0000"/>
      </font>
    </dxf>
    <dxf>
      <font>
        <b/>
        <i val="0"/>
        <color rgb="FFFF0000"/>
      </font>
      <fill>
        <patternFill patternType="none">
          <bgColor auto="1"/>
        </patternFill>
      </fill>
    </dxf>
    <dxf>
      <font>
        <b/>
        <i val="0"/>
        <strike val="0"/>
        <u/>
        <color rgb="FFFF0000"/>
      </font>
    </dxf>
    <dxf>
      <font>
        <b/>
        <i val="0"/>
        <color rgb="FFFF0000"/>
      </font>
      <fill>
        <patternFill patternType="none">
          <bgColor auto="1"/>
        </patternFill>
      </fill>
    </dxf>
    <dxf>
      <font>
        <b/>
        <i val="0"/>
        <strike val="0"/>
        <u/>
        <color rgb="FFFF0000"/>
      </font>
    </dxf>
    <dxf>
      <font>
        <b/>
        <i val="0"/>
        <color rgb="FFFF0000"/>
      </font>
      <fill>
        <patternFill patternType="none">
          <bgColor auto="1"/>
        </patternFill>
      </fill>
    </dxf>
    <dxf>
      <font>
        <b/>
        <i val="0"/>
        <strike val="0"/>
        <u/>
        <color rgb="FFFF0000"/>
      </font>
    </dxf>
    <dxf>
      <font>
        <b/>
        <i val="0"/>
        <color rgb="FFFF0000"/>
      </font>
      <fill>
        <patternFill patternType="none">
          <bgColor auto="1"/>
        </patternFill>
      </fill>
    </dxf>
    <dxf>
      <font>
        <b/>
        <i val="0"/>
        <strike val="0"/>
        <u/>
        <color rgb="FFFF0000"/>
      </font>
    </dxf>
    <dxf>
      <font>
        <b/>
        <i val="0"/>
        <color rgb="FFFF0000"/>
      </font>
      <fill>
        <patternFill patternType="none">
          <bgColor auto="1"/>
        </patternFill>
      </fill>
    </dxf>
    <dxf>
      <font>
        <b/>
        <i val="0"/>
        <strike val="0"/>
        <u/>
        <color rgb="FFFF0000"/>
      </font>
    </dxf>
    <dxf>
      <font>
        <b/>
        <i val="0"/>
        <color rgb="FFFF0000"/>
      </font>
      <fill>
        <patternFill patternType="none">
          <bgColor auto="1"/>
        </patternFill>
      </fill>
    </dxf>
    <dxf>
      <font>
        <color theme="0" tint="-0.24994659260841701"/>
      </font>
      <fill>
        <patternFill>
          <bgColor theme="0" tint="-0.24994659260841701"/>
        </patternFill>
      </fill>
    </dxf>
    <dxf>
      <border outline="0">
        <top style="thin">
          <color theme="1"/>
        </top>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s>
  <tableStyles count="1" defaultTableStyle="TableStyleMedium2" defaultPivotStyle="PivotStyleLight16">
    <tableStyle name="MySqlDefault" pivot="0" table="0" count="0"/>
  </tableStyles>
  <colors>
    <mruColors>
      <color rgb="FFE1E456"/>
      <color rgb="FF02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2628900</xdr:colOff>
          <xdr:row>3</xdr:row>
          <xdr:rowOff>171450</xdr:rowOff>
        </xdr:from>
        <xdr:to>
          <xdr:col>28</xdr:col>
          <xdr:colOff>3571875</xdr:colOff>
          <xdr:row>3</xdr:row>
          <xdr:rowOff>866775</xdr:rowOff>
        </xdr:to>
        <xdr:sp macro="" textlink="">
          <xdr:nvSpPr>
            <xdr:cNvPr id="9224" name="Button 8" descr="Open the control panel dialog box"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Open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28</xdr:col>
          <xdr:colOff>3619500</xdr:colOff>
          <xdr:row>3</xdr:row>
          <xdr:rowOff>342900</xdr:rowOff>
        </xdr:from>
        <xdr:to>
          <xdr:col>28</xdr:col>
          <xdr:colOff>4400550</xdr:colOff>
          <xdr:row>3</xdr:row>
          <xdr:rowOff>838200</xdr:rowOff>
        </xdr:to>
        <xdr:sp macro="" textlink="">
          <xdr:nvSpPr>
            <xdr:cNvPr id="9242" name="btnRelayCategory" hidden="1">
              <a:extLst>
                <a:ext uri="{63B3BB69-23CF-44E3-9099-C40C66FF867C}">
                  <a14:compatExt spid="_x0000_s9242"/>
                </a:ext>
                <a:ext uri="{FF2B5EF4-FFF2-40B4-BE49-F238E27FC236}">
                  <a16:creationId xmlns:a16="http://schemas.microsoft.com/office/drawing/2014/main" id="{00000000-0008-0000-0000-00001A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47625</xdr:colOff>
          <xdr:row>3</xdr:row>
          <xdr:rowOff>628650</xdr:rowOff>
        </xdr:from>
        <xdr:to>
          <xdr:col>30</xdr:col>
          <xdr:colOff>1095375</xdr:colOff>
          <xdr:row>3</xdr:row>
          <xdr:rowOff>1019175</xdr:rowOff>
        </xdr:to>
        <xdr:sp macro="" textlink="">
          <xdr:nvSpPr>
            <xdr:cNvPr id="9246" name="Button 30" hidden="1">
              <a:extLst>
                <a:ext uri="{63B3BB69-23CF-44E3-9099-C40C66FF867C}">
                  <a14:compatExt spid="_x0000_s9246"/>
                </a:ext>
                <a:ext uri="{FF2B5EF4-FFF2-40B4-BE49-F238E27FC236}">
                  <a16:creationId xmlns:a16="http://schemas.microsoft.com/office/drawing/2014/main" id="{00000000-0008-0000-0000-00001E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Sort Column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28575</xdr:colOff>
          <xdr:row>3</xdr:row>
          <xdr:rowOff>819150</xdr:rowOff>
        </xdr:from>
        <xdr:to>
          <xdr:col>32</xdr:col>
          <xdr:colOff>0</xdr:colOff>
          <xdr:row>3</xdr:row>
          <xdr:rowOff>1047750</xdr:rowOff>
        </xdr:to>
        <xdr:sp macro="" textlink="">
          <xdr:nvSpPr>
            <xdr:cNvPr id="9247" name="Button 31" descr="Sort data by EDE sort key" hidden="1">
              <a:extLst>
                <a:ext uri="{63B3BB69-23CF-44E3-9099-C40C66FF867C}">
                  <a14:compatExt spid="_x0000_s9247"/>
                </a:ext>
                <a:ext uri="{FF2B5EF4-FFF2-40B4-BE49-F238E27FC236}">
                  <a16:creationId xmlns:a16="http://schemas.microsoft.com/office/drawing/2014/main" id="{00000000-0008-0000-0000-00001F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Sort Column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342900</xdr:colOff>
          <xdr:row>3</xdr:row>
          <xdr:rowOff>219075</xdr:rowOff>
        </xdr:from>
        <xdr:to>
          <xdr:col>2</xdr:col>
          <xdr:colOff>981075</xdr:colOff>
          <xdr:row>3</xdr:row>
          <xdr:rowOff>781050</xdr:rowOff>
        </xdr:to>
        <xdr:sp macro="" textlink="">
          <xdr:nvSpPr>
            <xdr:cNvPr id="9249" name="Button 33" hidden="1">
              <a:extLst>
                <a:ext uri="{63B3BB69-23CF-44E3-9099-C40C66FF867C}">
                  <a14:compatExt spid="_x0000_s9249"/>
                </a:ext>
                <a:ext uri="{FF2B5EF4-FFF2-40B4-BE49-F238E27FC236}">
                  <a16:creationId xmlns:a16="http://schemas.microsoft.com/office/drawing/2014/main" id="{00000000-0008-0000-0000-000021240000}"/>
                </a:ext>
              </a:extLst>
            </xdr:cNvPr>
            <xdr:cNvSpPr/>
          </xdr:nvSpPr>
          <xdr:spPr bwMode="auto">
            <a:xfrm>
              <a:off x="0" y="0"/>
              <a:ext cx="0" cy="0"/>
            </a:xfrm>
            <a:prstGeom prst="rect">
              <a:avLst/>
            </a:prstGeom>
            <a:noFill/>
            <a:ln w="9525">
              <a:miter lim="800000"/>
              <a:headEnd/>
              <a:tailEnd/>
            </a:ln>
          </xdr:spPr>
          <xdr:txBody>
            <a:bodyPr vertOverflow="clip" vert="vert270" wrap="square" lIns="27432" tIns="22860" rIns="27432" bIns="22860" anchor="ctr" upright="1"/>
            <a:lstStyle/>
            <a:p>
              <a:pPr algn="ctr" rtl="0">
                <a:defRPr sz="1000"/>
              </a:pPr>
              <a:r>
                <a:rPr lang="en-US" sz="900" b="0" i="0" u="none" strike="noStrike" baseline="0">
                  <a:solidFill>
                    <a:srgbClr val="000000"/>
                  </a:solidFill>
                  <a:latin typeface="Calibri"/>
                  <a:cs typeface="Calibri"/>
                </a:rPr>
                <a:t>Sort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9525</xdr:colOff>
          <xdr:row>3</xdr:row>
          <xdr:rowOff>561975</xdr:rowOff>
        </xdr:from>
        <xdr:to>
          <xdr:col>31</xdr:col>
          <xdr:colOff>904875</xdr:colOff>
          <xdr:row>3</xdr:row>
          <xdr:rowOff>790575</xdr:rowOff>
        </xdr:to>
        <xdr:sp macro="" textlink="">
          <xdr:nvSpPr>
            <xdr:cNvPr id="9254" name="Button 38" descr="Add EDE sheet index" hidden="1">
              <a:extLst>
                <a:ext uri="{63B3BB69-23CF-44E3-9099-C40C66FF867C}">
                  <a14:compatExt spid="_x0000_s9254"/>
                </a:ext>
                <a:ext uri="{FF2B5EF4-FFF2-40B4-BE49-F238E27FC236}">
                  <a16:creationId xmlns:a16="http://schemas.microsoft.com/office/drawing/2014/main" id="{00000000-0008-0000-0000-000026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Add Index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28575</xdr:colOff>
          <xdr:row>3</xdr:row>
          <xdr:rowOff>38100</xdr:rowOff>
        </xdr:from>
        <xdr:to>
          <xdr:col>32</xdr:col>
          <xdr:colOff>0</xdr:colOff>
          <xdr:row>3</xdr:row>
          <xdr:rowOff>266700</xdr:rowOff>
        </xdr:to>
        <xdr:sp macro="" textlink="">
          <xdr:nvSpPr>
            <xdr:cNvPr id="9256" name="Button 40" descr="Sort by EDE category then by EDE index" hidden="1">
              <a:extLst>
                <a:ext uri="{63B3BB69-23CF-44E3-9099-C40C66FF867C}">
                  <a14:compatExt spid="_x0000_s9256"/>
                </a:ext>
                <a:ext uri="{FF2B5EF4-FFF2-40B4-BE49-F238E27FC236}">
                  <a16:creationId xmlns:a16="http://schemas.microsoft.com/office/drawing/2014/main" id="{00000000-0008-0000-0000-000028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Cat/Sheet 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28575</xdr:colOff>
          <xdr:row>3</xdr:row>
          <xdr:rowOff>295275</xdr:rowOff>
        </xdr:from>
        <xdr:to>
          <xdr:col>32</xdr:col>
          <xdr:colOff>0</xdr:colOff>
          <xdr:row>3</xdr:row>
          <xdr:rowOff>523875</xdr:rowOff>
        </xdr:to>
        <xdr:sp macro="" textlink="">
          <xdr:nvSpPr>
            <xdr:cNvPr id="9265" name="Button 49" descr="Clear EDE sheet index" hidden="1">
              <a:extLst>
                <a:ext uri="{63B3BB69-23CF-44E3-9099-C40C66FF867C}">
                  <a14:compatExt spid="_x0000_s9265"/>
                </a:ext>
                <a:ext uri="{FF2B5EF4-FFF2-40B4-BE49-F238E27FC236}">
                  <a16:creationId xmlns:a16="http://schemas.microsoft.com/office/drawing/2014/main" id="{00000000-0008-0000-0000-000031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Clear Index</a:t>
              </a:r>
            </a:p>
          </xdr:txBody>
        </xdr:sp>
        <xdr:clientData fPrintsWithSheet="0"/>
      </xdr:twoCellAnchor>
    </mc:Choice>
    <mc:Fallback/>
  </mc:AlternateContent>
  <xdr:twoCellAnchor>
    <xdr:from>
      <xdr:col>29</xdr:col>
      <xdr:colOff>179294</xdr:colOff>
      <xdr:row>5</xdr:row>
      <xdr:rowOff>179294</xdr:rowOff>
    </xdr:from>
    <xdr:to>
      <xdr:col>30</xdr:col>
      <xdr:colOff>89647</xdr:colOff>
      <xdr:row>27</xdr:row>
      <xdr:rowOff>168088</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8628529" y="2454088"/>
          <a:ext cx="2902324" cy="24092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3/17/17</a:t>
          </a:r>
        </a:p>
        <a:p>
          <a:r>
            <a:rPr lang="en-US" sz="1100"/>
            <a:t>The</a:t>
          </a:r>
          <a:r>
            <a:rPr lang="en-US" sz="1100" baseline="0"/>
            <a:t> add index button is not working.  There should not be a sort key value if the category is 'a' or 'z'</a:t>
          </a:r>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142875</xdr:colOff>
          <xdr:row>3</xdr:row>
          <xdr:rowOff>0</xdr:rowOff>
        </xdr:from>
        <xdr:to>
          <xdr:col>23</xdr:col>
          <xdr:colOff>542925</xdr:colOff>
          <xdr:row>6</xdr:row>
          <xdr:rowOff>0</xdr:rowOff>
        </xdr:to>
        <xdr:sp macro="" textlink="">
          <xdr:nvSpPr>
            <xdr:cNvPr id="40961" name="Button 1" descr="PDF ME" hidden="1">
              <a:extLst>
                <a:ext uri="{63B3BB69-23CF-44E3-9099-C40C66FF867C}">
                  <a14:compatExt spid="_x0000_s40961"/>
                </a:ext>
                <a:ext uri="{FF2B5EF4-FFF2-40B4-BE49-F238E27FC236}">
                  <a16:creationId xmlns:a16="http://schemas.microsoft.com/office/drawing/2014/main" id="{00000000-0008-0000-0200-000001A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PDF ME!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142875</xdr:colOff>
          <xdr:row>3</xdr:row>
          <xdr:rowOff>0</xdr:rowOff>
        </xdr:from>
        <xdr:to>
          <xdr:col>23</xdr:col>
          <xdr:colOff>542925</xdr:colOff>
          <xdr:row>6</xdr:row>
          <xdr:rowOff>0</xdr:rowOff>
        </xdr:to>
        <xdr:sp macro="" textlink="">
          <xdr:nvSpPr>
            <xdr:cNvPr id="27649" name="Button 1" descr="PDF ME" hidden="1">
              <a:extLst>
                <a:ext uri="{63B3BB69-23CF-44E3-9099-C40C66FF867C}">
                  <a14:compatExt spid="_x0000_s27649"/>
                </a:ext>
                <a:ext uri="{FF2B5EF4-FFF2-40B4-BE49-F238E27FC236}">
                  <a16:creationId xmlns:a16="http://schemas.microsoft.com/office/drawing/2014/main" id="{00000000-0008-0000-0300-000001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PDF ME!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18</xdr:col>
          <xdr:colOff>133350</xdr:colOff>
          <xdr:row>3</xdr:row>
          <xdr:rowOff>76200</xdr:rowOff>
        </xdr:from>
        <xdr:to>
          <xdr:col>19</xdr:col>
          <xdr:colOff>533400</xdr:colOff>
          <xdr:row>5</xdr:row>
          <xdr:rowOff>19050</xdr:rowOff>
        </xdr:to>
        <xdr:sp macro="" textlink="">
          <xdr:nvSpPr>
            <xdr:cNvPr id="12292" name="Button 4" descr="PDF ME" hidden="1">
              <a:extLst>
                <a:ext uri="{63B3BB69-23CF-44E3-9099-C40C66FF867C}">
                  <a14:compatExt spid="_x0000_s12292"/>
                </a:ext>
                <a:ext uri="{FF2B5EF4-FFF2-40B4-BE49-F238E27FC236}">
                  <a16:creationId xmlns:a16="http://schemas.microsoft.com/office/drawing/2014/main" id="{00000000-0008-0000-0500-000004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PDF ME!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142875</xdr:colOff>
          <xdr:row>3</xdr:row>
          <xdr:rowOff>0</xdr:rowOff>
        </xdr:from>
        <xdr:to>
          <xdr:col>23</xdr:col>
          <xdr:colOff>542925</xdr:colOff>
          <xdr:row>6</xdr:row>
          <xdr:rowOff>47625</xdr:rowOff>
        </xdr:to>
        <xdr:sp macro="" textlink="">
          <xdr:nvSpPr>
            <xdr:cNvPr id="13314" name="Button 2" descr="PDF ME" hidden="1">
              <a:extLst>
                <a:ext uri="{63B3BB69-23CF-44E3-9099-C40C66FF867C}">
                  <a14:compatExt spid="_x0000_s13314"/>
                </a:ext>
                <a:ext uri="{FF2B5EF4-FFF2-40B4-BE49-F238E27FC236}">
                  <a16:creationId xmlns:a16="http://schemas.microsoft.com/office/drawing/2014/main" id="{00000000-0008-0000-0600-00000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PDF ME!</a:t>
              </a:r>
            </a:p>
          </xdr:txBody>
        </xdr:sp>
        <xdr:clientData fPrintsWithSheet="0"/>
      </xdr:twoCellAnchor>
    </mc:Choice>
    <mc:Fallback/>
  </mc:AlternateContent>
</xdr:wsDr>
</file>

<file path=xl/tables/table1.xml><?xml version="1.0" encoding="utf-8"?>
<table xmlns="http://schemas.openxmlformats.org/spreadsheetml/2006/main" id="1" name="Table1" displayName="Table1" ref="B1:C78" totalsRowShown="0">
  <autoFilter ref="B1:C78"/>
  <tableColumns count="2">
    <tableColumn id="1" name="Drawing Number" dataDxfId="78">
      <calculatedColumnFormula>IFERROR(INDEX(MasterDwgNumber,A2,3),"")</calculatedColumnFormula>
    </tableColumn>
    <tableColumn id="2" name="Drawing Title" dataDxfId="77">
      <calculatedColumnFormula>IFERROR(INDEX(MasterDwgNumber,A2,1),"")</calculatedColumnFormula>
    </tableColumn>
  </tableColumns>
  <tableStyleInfo name="TableStyleLight1" showFirstColumn="0" showLastColumn="0" showRowStripes="1" showColumnStripes="0"/>
</table>
</file>

<file path=xl/tables/table2.xml><?xml version="1.0" encoding="utf-8"?>
<table xmlns="http://schemas.openxmlformats.org/spreadsheetml/2006/main" id="2" name="comment" displayName="comment" ref="L20:L22" totalsRowShown="0" headerRowDxfId="76" tableBorderDxfId="75">
  <autoFilter ref="L20:L22"/>
  <tableColumns count="1">
    <tableColumn id="1" name="COMM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image" Target="../media/image1.emf"/><Relationship Id="rId10" Type="http://schemas.openxmlformats.org/officeDocument/2006/relationships/ctrlProp" Target="../ctrlProps/ctrlProp5.xml"/><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1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mailto:joe.brown@amce.com"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00"/>
    <pageSetUpPr fitToPage="1"/>
  </sheetPr>
  <dimension ref="A1:BE283"/>
  <sheetViews>
    <sheetView showGridLines="0" tabSelected="1" zoomScale="85" zoomScaleNormal="85" workbookViewId="0">
      <pane ySplit="5" topLeftCell="A6" activePane="bottomLeft" state="frozen"/>
      <selection pane="bottomLeft" activeCell="AC15" sqref="AC15"/>
    </sheetView>
  </sheetViews>
  <sheetFormatPr defaultColWidth="8.85546875" defaultRowHeight="15" x14ac:dyDescent="0.25"/>
  <cols>
    <col min="1" max="1" width="13.140625" style="5" hidden="1" customWidth="1"/>
    <col min="2" max="2" width="4.42578125" style="5" hidden="1" customWidth="1"/>
    <col min="3" max="3" width="23.140625" style="31" customWidth="1"/>
    <col min="4" max="4" width="3.7109375" style="5" customWidth="1"/>
    <col min="5" max="6" width="2.7109375" style="6" customWidth="1"/>
    <col min="7" max="7" width="2.7109375" style="7" customWidth="1"/>
    <col min="8" max="11" width="2.7109375" style="6" customWidth="1"/>
    <col min="12" max="12" width="2.42578125" style="6" customWidth="1"/>
    <col min="13" max="13" width="2.7109375" style="5" customWidth="1"/>
    <col min="14" max="16" width="2.7109375" style="2" customWidth="1"/>
    <col min="17" max="17" width="2.7109375" style="7" hidden="1" customWidth="1"/>
    <col min="18" max="18" width="2.5703125" style="6" hidden="1" customWidth="1"/>
    <col min="19" max="22" width="2.7109375" style="6" hidden="1" customWidth="1"/>
    <col min="23" max="23" width="2.7109375" style="5" hidden="1" customWidth="1"/>
    <col min="24" max="28" width="2.7109375" style="2" hidden="1" customWidth="1"/>
    <col min="29" max="29" width="67.85546875" style="2" customWidth="1"/>
    <col min="30" max="30" width="44.85546875" style="2" customWidth="1"/>
    <col min="31" max="31" width="17.140625" style="30" customWidth="1"/>
    <col min="32" max="32" width="13.7109375" style="275" customWidth="1"/>
    <col min="33" max="33" width="16.5703125" style="2" hidden="1" customWidth="1"/>
    <col min="34" max="34" width="8.85546875" style="2" hidden="1" customWidth="1"/>
    <col min="35" max="35" width="8.85546875" style="2" customWidth="1"/>
    <col min="36" max="36" width="8.85546875" style="2"/>
    <col min="37" max="37" width="8.85546875" style="2" customWidth="1"/>
    <col min="38" max="16384" width="8.85546875" style="2"/>
  </cols>
  <sheetData>
    <row r="1" spans="1:57" ht="23.25" x14ac:dyDescent="0.35">
      <c r="A1" s="380" t="str">
        <f>project_client</f>
        <v>CLIENT NAME</v>
      </c>
      <c r="B1" s="381"/>
      <c r="C1" s="381"/>
      <c r="D1" s="381"/>
      <c r="E1" s="381"/>
      <c r="F1" s="381"/>
      <c r="G1" s="381"/>
      <c r="H1" s="381"/>
      <c r="I1" s="381"/>
      <c r="J1" s="381"/>
      <c r="K1" s="381"/>
      <c r="L1" s="381"/>
      <c r="M1" s="381"/>
      <c r="N1" s="381"/>
      <c r="O1" s="381"/>
      <c r="P1" s="381"/>
      <c r="Q1" s="381"/>
      <c r="R1" s="381"/>
      <c r="S1" s="381"/>
      <c r="T1" s="381"/>
      <c r="U1" s="381"/>
      <c r="V1" s="381"/>
      <c r="W1" s="381"/>
      <c r="X1" s="381"/>
      <c r="Y1" s="381"/>
      <c r="Z1" s="381"/>
      <c r="AA1" s="381"/>
      <c r="AB1" s="381"/>
      <c r="AC1" s="382"/>
      <c r="AD1" s="390"/>
      <c r="AE1" s="391"/>
      <c r="AF1" s="391"/>
      <c r="AG1" s="391"/>
      <c r="AH1" s="391"/>
      <c r="AI1" s="391"/>
      <c r="AJ1" s="391"/>
      <c r="AK1" s="391"/>
      <c r="AL1" s="391"/>
      <c r="AM1" s="391"/>
      <c r="AN1" s="391"/>
      <c r="AO1" s="391"/>
      <c r="AP1" s="391"/>
      <c r="AQ1" s="391"/>
      <c r="AR1" s="391"/>
      <c r="AS1" s="391"/>
      <c r="AT1" s="391"/>
      <c r="AU1" s="391"/>
      <c r="AV1" s="391"/>
      <c r="AW1" s="391"/>
      <c r="AX1" s="391"/>
      <c r="AY1" s="391"/>
      <c r="AZ1" s="391"/>
      <c r="BA1" s="391"/>
      <c r="BB1" s="391"/>
      <c r="BC1" s="391"/>
      <c r="BD1" s="391"/>
      <c r="BE1" s="392"/>
    </row>
    <row r="2" spans="1:57" ht="23.25" x14ac:dyDescent="0.35">
      <c r="A2" s="383" t="str">
        <f>project_station</f>
        <v>STATION NAME</v>
      </c>
      <c r="B2" s="384"/>
      <c r="C2" s="384"/>
      <c r="D2" s="384"/>
      <c r="E2" s="384"/>
      <c r="F2" s="384"/>
      <c r="G2" s="384"/>
      <c r="H2" s="384"/>
      <c r="I2" s="384"/>
      <c r="J2" s="384"/>
      <c r="K2" s="384"/>
      <c r="L2" s="384"/>
      <c r="M2" s="384"/>
      <c r="N2" s="384"/>
      <c r="O2" s="384"/>
      <c r="P2" s="384"/>
      <c r="Q2" s="384"/>
      <c r="R2" s="384"/>
      <c r="S2" s="384"/>
      <c r="T2" s="384"/>
      <c r="U2" s="384"/>
      <c r="V2" s="384"/>
      <c r="W2" s="384"/>
      <c r="X2" s="384"/>
      <c r="Y2" s="384"/>
      <c r="Z2" s="384"/>
      <c r="AA2" s="384"/>
      <c r="AB2" s="384"/>
      <c r="AC2" s="385"/>
      <c r="AD2" s="393"/>
      <c r="AE2" s="394"/>
      <c r="AF2" s="394"/>
      <c r="AG2" s="394"/>
      <c r="AH2" s="394"/>
      <c r="AI2" s="394"/>
      <c r="AJ2" s="394"/>
      <c r="AK2" s="394"/>
      <c r="AL2" s="394"/>
      <c r="AM2" s="394"/>
      <c r="AN2" s="394"/>
      <c r="AO2" s="394"/>
      <c r="AP2" s="394"/>
      <c r="AQ2" s="394"/>
      <c r="AR2" s="394"/>
      <c r="AS2" s="394"/>
      <c r="AT2" s="394"/>
      <c r="AU2" s="394"/>
      <c r="AV2" s="394"/>
      <c r="AW2" s="394"/>
      <c r="AX2" s="394"/>
      <c r="AY2" s="394"/>
      <c r="AZ2" s="394"/>
      <c r="BA2" s="394"/>
      <c r="BB2" s="394"/>
      <c r="BC2" s="394"/>
      <c r="BD2" s="394"/>
      <c r="BE2" s="395"/>
    </row>
    <row r="3" spans="1:57" ht="18.75" thickBot="1" x14ac:dyDescent="0.3">
      <c r="A3" s="386" t="str">
        <f>project_title</f>
        <v>PROJECT DESCRIPTION</v>
      </c>
      <c r="B3" s="387"/>
      <c r="C3" s="387"/>
      <c r="D3" s="387"/>
      <c r="E3" s="387"/>
      <c r="F3" s="387"/>
      <c r="G3" s="387"/>
      <c r="H3" s="387"/>
      <c r="I3" s="387"/>
      <c r="J3" s="387"/>
      <c r="K3" s="387"/>
      <c r="L3" s="387"/>
      <c r="M3" s="387"/>
      <c r="N3" s="387"/>
      <c r="O3" s="387"/>
      <c r="P3" s="387"/>
      <c r="Q3" s="387"/>
      <c r="R3" s="387"/>
      <c r="S3" s="387"/>
      <c r="T3" s="387"/>
      <c r="U3" s="387"/>
      <c r="V3" s="387"/>
      <c r="W3" s="387"/>
      <c r="X3" s="387"/>
      <c r="Y3" s="387"/>
      <c r="Z3" s="387"/>
      <c r="AA3" s="387"/>
      <c r="AB3" s="387"/>
      <c r="AC3" s="388"/>
      <c r="AD3" s="396"/>
      <c r="AE3" s="397"/>
      <c r="AF3" s="397"/>
      <c r="AG3" s="397"/>
      <c r="AH3" s="397"/>
      <c r="AI3" s="397"/>
      <c r="AJ3" s="397"/>
      <c r="AK3" s="397"/>
      <c r="AL3" s="397"/>
      <c r="AM3" s="397"/>
      <c r="AN3" s="397"/>
      <c r="AO3" s="397"/>
      <c r="AP3" s="397"/>
      <c r="AQ3" s="397"/>
      <c r="AR3" s="397"/>
      <c r="AS3" s="397"/>
      <c r="AT3" s="397"/>
      <c r="AU3" s="397"/>
      <c r="AV3" s="397"/>
      <c r="AW3" s="397"/>
      <c r="AX3" s="397"/>
      <c r="AY3" s="397"/>
      <c r="AZ3" s="397"/>
      <c r="BA3" s="397"/>
      <c r="BB3" s="397"/>
      <c r="BC3" s="397"/>
      <c r="BD3" s="397"/>
      <c r="BE3" s="398"/>
    </row>
    <row r="4" spans="1:57" ht="83.45" customHeight="1" thickBot="1" x14ac:dyDescent="0.3">
      <c r="A4" s="402"/>
      <c r="B4" s="403"/>
      <c r="C4" s="404"/>
      <c r="D4" s="320" t="s">
        <v>105</v>
      </c>
      <c r="E4" s="321" t="s">
        <v>407</v>
      </c>
      <c r="F4" s="322"/>
      <c r="G4" s="323" t="s">
        <v>408</v>
      </c>
      <c r="H4" s="324"/>
      <c r="I4" s="325" t="s">
        <v>409</v>
      </c>
      <c r="J4" s="326"/>
      <c r="K4" s="327"/>
      <c r="L4" s="328"/>
      <c r="M4" s="329"/>
      <c r="N4" s="330"/>
      <c r="O4" s="331"/>
      <c r="P4" s="332"/>
      <c r="Q4" s="333"/>
      <c r="R4" s="334"/>
      <c r="S4" s="333"/>
      <c r="T4" s="334"/>
      <c r="U4" s="333"/>
      <c r="V4" s="334"/>
      <c r="W4" s="333"/>
      <c r="X4" s="334"/>
      <c r="Y4" s="333"/>
      <c r="Z4" s="334"/>
      <c r="AA4" s="333"/>
      <c r="AB4" s="334"/>
      <c r="AC4" s="53" t="s">
        <v>72</v>
      </c>
      <c r="AD4" s="131"/>
      <c r="AE4" s="131"/>
      <c r="AF4" s="252"/>
    </row>
    <row r="5" spans="1:57" ht="31.9" customHeight="1" thickBot="1" x14ac:dyDescent="0.3">
      <c r="A5" s="399" t="s">
        <v>372</v>
      </c>
      <c r="B5" s="400"/>
      <c r="C5" s="401"/>
      <c r="D5" s="335"/>
      <c r="E5" s="336" t="s">
        <v>1</v>
      </c>
      <c r="F5" s="337" t="s">
        <v>69</v>
      </c>
      <c r="G5" s="338" t="s">
        <v>1</v>
      </c>
      <c r="H5" s="339" t="s">
        <v>69</v>
      </c>
      <c r="I5" s="340" t="s">
        <v>1</v>
      </c>
      <c r="J5" s="341" t="s">
        <v>69</v>
      </c>
      <c r="K5" s="342" t="s">
        <v>1</v>
      </c>
      <c r="L5" s="343" t="s">
        <v>69</v>
      </c>
      <c r="M5" s="344" t="s">
        <v>1</v>
      </c>
      <c r="N5" s="345" t="s">
        <v>69</v>
      </c>
      <c r="O5" s="346" t="s">
        <v>1</v>
      </c>
      <c r="P5" s="347" t="s">
        <v>69</v>
      </c>
      <c r="Q5" s="348" t="s">
        <v>1</v>
      </c>
      <c r="R5" s="349" t="s">
        <v>69</v>
      </c>
      <c r="S5" s="348" t="s">
        <v>1</v>
      </c>
      <c r="T5" s="349" t="s">
        <v>69</v>
      </c>
      <c r="U5" s="348" t="s">
        <v>1</v>
      </c>
      <c r="V5" s="349" t="s">
        <v>69</v>
      </c>
      <c r="W5" s="348" t="s">
        <v>1</v>
      </c>
      <c r="X5" s="349" t="s">
        <v>69</v>
      </c>
      <c r="Y5" s="348" t="s">
        <v>1</v>
      </c>
      <c r="Z5" s="349" t="s">
        <v>69</v>
      </c>
      <c r="AA5" s="348" t="s">
        <v>1</v>
      </c>
      <c r="AB5" s="349" t="s">
        <v>69</v>
      </c>
      <c r="AC5" s="311" t="s">
        <v>70</v>
      </c>
      <c r="AD5" s="311" t="s">
        <v>104</v>
      </c>
      <c r="AE5" s="311" t="s">
        <v>0</v>
      </c>
      <c r="AF5" s="229" t="s">
        <v>354</v>
      </c>
      <c r="AG5" s="389" t="s">
        <v>55</v>
      </c>
      <c r="AH5" s="389"/>
    </row>
    <row r="6" spans="1:57" ht="15.95" customHeight="1" x14ac:dyDescent="0.25">
      <c r="A6" s="308" t="str">
        <f t="shared" ref="A6" si="0">IF(C6&lt;&gt;"",dwgnoprefix,"")</f>
        <v>EDE</v>
      </c>
      <c r="B6" s="309" t="str">
        <f t="shared" ref="B6" si="1">IF(C6&lt;&gt;"", dwgdelimiter,"")</f>
        <v>-</v>
      </c>
      <c r="C6" s="523">
        <v>0</v>
      </c>
      <c r="D6" s="524" t="s">
        <v>106</v>
      </c>
      <c r="E6" s="316">
        <v>0</v>
      </c>
      <c r="F6" s="317" t="s">
        <v>20</v>
      </c>
      <c r="G6" s="525"/>
      <c r="H6" s="526"/>
      <c r="I6" s="271">
        <v>0</v>
      </c>
      <c r="J6" s="272"/>
      <c r="K6" s="527"/>
      <c r="L6" s="528"/>
      <c r="M6" s="258"/>
      <c r="N6" s="259"/>
      <c r="O6" s="529"/>
      <c r="P6" s="245"/>
      <c r="Q6" s="223"/>
      <c r="R6" s="224"/>
      <c r="S6" s="223"/>
      <c r="T6" s="224"/>
      <c r="U6" s="223"/>
      <c r="V6" s="224"/>
      <c r="W6" s="223"/>
      <c r="X6" s="224"/>
      <c r="Y6" s="223"/>
      <c r="Z6" s="224"/>
      <c r="AA6" s="227"/>
      <c r="AB6" s="530"/>
      <c r="AC6" s="531" t="s">
        <v>161</v>
      </c>
      <c r="AD6" s="318"/>
      <c r="AE6" s="319" t="str">
        <f t="shared" ref="AE6" si="2">IF(OR(UPPER(TRIM(B6))="EDE",UPPER(TRIM(A6))="EDE"),UPPER(C6),IF(C6&lt;&gt;"",A6&amp;B6&amp;IF(C6&lt;=9,"000"&amp;TEXT(C6,0),IF(C6&lt;=99,"00"&amp;TEXT(C6,0),IF(C6&lt;999,"0"&amp;TEXT(C6,0),TEXT(C6,0)))),""))</f>
        <v>0</v>
      </c>
      <c r="AF6" s="532"/>
      <c r="AG6" s="2" t="s">
        <v>51</v>
      </c>
      <c r="AH6" s="4"/>
    </row>
    <row r="7" spans="1:57" ht="15.95" customHeight="1" x14ac:dyDescent="0.25">
      <c r="A7" s="302" t="str">
        <f t="shared" ref="A7:A8" si="3">IF(C7&lt;&gt;"",dwgnoprefix,"")</f>
        <v>EDE</v>
      </c>
      <c r="B7" s="304" t="str">
        <f t="shared" ref="B7:B8" si="4">IF(C7&lt;&gt;"", dwgdelimiter,"")</f>
        <v>-</v>
      </c>
      <c r="C7" s="285">
        <v>1004</v>
      </c>
      <c r="D7" s="284" t="s">
        <v>106</v>
      </c>
      <c r="E7" s="33">
        <v>2</v>
      </c>
      <c r="F7" s="34"/>
      <c r="G7" s="247">
        <v>0</v>
      </c>
      <c r="H7" s="248" t="s">
        <v>174</v>
      </c>
      <c r="I7" s="265">
        <v>0</v>
      </c>
      <c r="J7" s="266"/>
      <c r="K7" s="35"/>
      <c r="L7" s="36"/>
      <c r="M7" s="256"/>
      <c r="N7" s="257"/>
      <c r="O7" s="243"/>
      <c r="P7" s="244"/>
      <c r="Q7" s="37"/>
      <c r="R7" s="38"/>
      <c r="S7" s="37"/>
      <c r="T7" s="38"/>
      <c r="U7" s="37"/>
      <c r="V7" s="38"/>
      <c r="W7" s="37"/>
      <c r="X7" s="38"/>
      <c r="Y7" s="37"/>
      <c r="Z7" s="38"/>
      <c r="AA7" s="41"/>
      <c r="AB7" s="299"/>
      <c r="AC7" s="296" t="s">
        <v>387</v>
      </c>
      <c r="AD7" s="371"/>
      <c r="AE7" s="306" t="str">
        <f t="shared" ref="AE7:AE8" si="5">IF(OR(UPPER(TRIM(B7))="EDE",UPPER(TRIM(A7))="EDE"),UPPER(C7),IF(C7&lt;&gt;"",A7&amp;B7&amp;IF(C7&lt;=9,"000"&amp;TEXT(C7,0),IF(C7&lt;=99,"00"&amp;TEXT(C7,0),IF(C7&lt;999,"0"&amp;TEXT(C7,0),TEXT(C7,0)))),""))</f>
        <v>1004</v>
      </c>
      <c r="AF7" s="301"/>
      <c r="AG7" s="2" t="s">
        <v>51</v>
      </c>
      <c r="AH7" s="4"/>
    </row>
    <row r="8" spans="1:57" ht="15.95" customHeight="1" x14ac:dyDescent="0.25">
      <c r="A8" s="302" t="str">
        <f t="shared" si="3"/>
        <v>EDE</v>
      </c>
      <c r="B8" s="304" t="str">
        <f t="shared" si="4"/>
        <v>-</v>
      </c>
      <c r="C8" s="379">
        <v>1</v>
      </c>
      <c r="D8" s="284" t="s">
        <v>107</v>
      </c>
      <c r="E8" s="33">
        <v>2</v>
      </c>
      <c r="F8" s="34" t="s">
        <v>20</v>
      </c>
      <c r="G8" s="247"/>
      <c r="H8" s="248"/>
      <c r="I8" s="265">
        <v>0</v>
      </c>
      <c r="J8" s="266"/>
      <c r="K8" s="35"/>
      <c r="L8" s="36"/>
      <c r="M8" s="256"/>
      <c r="N8" s="257"/>
      <c r="O8" s="243"/>
      <c r="P8" s="244"/>
      <c r="Q8" s="37"/>
      <c r="R8" s="38"/>
      <c r="S8" s="37"/>
      <c r="T8" s="38"/>
      <c r="U8" s="37"/>
      <c r="V8" s="38"/>
      <c r="W8" s="37"/>
      <c r="X8" s="38"/>
      <c r="Y8" s="37"/>
      <c r="Z8" s="38"/>
      <c r="AA8" s="41"/>
      <c r="AB8" s="299"/>
      <c r="AC8" s="296" t="s">
        <v>373</v>
      </c>
      <c r="AD8" s="371"/>
      <c r="AE8" s="306" t="str">
        <f t="shared" si="5"/>
        <v>1</v>
      </c>
      <c r="AF8" s="301">
        <v>1</v>
      </c>
      <c r="AG8" s="2" t="s">
        <v>51</v>
      </c>
      <c r="AH8" s="4"/>
    </row>
    <row r="9" spans="1:57" ht="15.95" customHeight="1" x14ac:dyDescent="0.25">
      <c r="A9" s="302" t="str">
        <f t="shared" ref="A9" si="6">IF(C9&lt;&gt;"",dwgnoprefix,"")</f>
        <v>EDE</v>
      </c>
      <c r="B9" s="304" t="str">
        <f t="shared" ref="B9" si="7">IF(C9&lt;&gt;"", dwgdelimiter,"")</f>
        <v>-</v>
      </c>
      <c r="C9" s="286">
        <v>1009</v>
      </c>
      <c r="D9" s="284" t="s">
        <v>107</v>
      </c>
      <c r="E9" s="33">
        <v>3</v>
      </c>
      <c r="F9" s="34"/>
      <c r="G9" s="247">
        <v>0</v>
      </c>
      <c r="H9" s="248"/>
      <c r="I9" s="265">
        <v>0</v>
      </c>
      <c r="J9" s="266"/>
      <c r="K9" s="35"/>
      <c r="L9" s="36"/>
      <c r="M9" s="256"/>
      <c r="N9" s="257"/>
      <c r="O9" s="243"/>
      <c r="P9" s="244"/>
      <c r="Q9" s="37"/>
      <c r="R9" s="38"/>
      <c r="S9" s="37"/>
      <c r="T9" s="38"/>
      <c r="U9" s="37"/>
      <c r="V9" s="38"/>
      <c r="W9" s="37"/>
      <c r="X9" s="38"/>
      <c r="Y9" s="37"/>
      <c r="Z9" s="38"/>
      <c r="AA9" s="41"/>
      <c r="AB9" s="299"/>
      <c r="AC9" s="296" t="s">
        <v>391</v>
      </c>
      <c r="AD9" s="371"/>
      <c r="AE9" s="306" t="str">
        <f t="shared" ref="AE9" si="8">IF(OR(UPPER(TRIM(B9))="EDE",UPPER(TRIM(A9))="EDE"),UPPER(C9),IF(C9&lt;&gt;"",A9&amp;B9&amp;IF(C9&lt;=9,"000"&amp;TEXT(C9,0),IF(C9&lt;=99,"00"&amp;TEXT(C9,0),IF(C9&lt;999,"0"&amp;TEXT(C9,0),TEXT(C9,0)))),""))</f>
        <v>1009</v>
      </c>
      <c r="AF9" s="301">
        <v>2</v>
      </c>
      <c r="AG9" s="2" t="s">
        <v>51</v>
      </c>
      <c r="AH9" s="4"/>
    </row>
    <row r="10" spans="1:57" ht="15.95" customHeight="1" x14ac:dyDescent="0.25">
      <c r="A10" s="302" t="str">
        <f t="shared" ref="A10" si="9">IF(C10&lt;&gt;"",dwgnoprefix,"")</f>
        <v>EDE</v>
      </c>
      <c r="B10" s="304" t="str">
        <f t="shared" ref="B10" si="10">IF(C10&lt;&gt;"", dwgdelimiter,"")</f>
        <v>-</v>
      </c>
      <c r="C10" s="286">
        <v>2</v>
      </c>
      <c r="D10" s="284" t="s">
        <v>108</v>
      </c>
      <c r="E10" s="33">
        <v>0</v>
      </c>
      <c r="F10" s="34"/>
      <c r="G10" s="247"/>
      <c r="H10" s="248"/>
      <c r="I10" s="265">
        <v>0</v>
      </c>
      <c r="J10" s="266"/>
      <c r="K10" s="35"/>
      <c r="L10" s="36"/>
      <c r="M10" s="256"/>
      <c r="N10" s="257"/>
      <c r="O10" s="243"/>
      <c r="P10" s="244"/>
      <c r="Q10" s="37"/>
      <c r="R10" s="38"/>
      <c r="S10" s="37"/>
      <c r="T10" s="38"/>
      <c r="U10" s="37"/>
      <c r="V10" s="38"/>
      <c r="W10" s="37"/>
      <c r="X10" s="38"/>
      <c r="Y10" s="37"/>
      <c r="Z10" s="38"/>
      <c r="AA10" s="41"/>
      <c r="AB10" s="299"/>
      <c r="AC10" s="296" t="s">
        <v>374</v>
      </c>
      <c r="AD10" s="371"/>
      <c r="AE10" s="306" t="str">
        <f t="shared" ref="AE10" si="11">IF(OR(UPPER(TRIM(B10))="EDE",UPPER(TRIM(A10))="EDE"),UPPER(C10),IF(C10&lt;&gt;"",A10&amp;B10&amp;IF(C10&lt;=9,"000"&amp;TEXT(C10,0),IF(C10&lt;=99,"00"&amp;TEXT(C10,0),IF(C10&lt;999,"0"&amp;TEXT(C10,0),TEXT(C10,0)))),""))</f>
        <v>2</v>
      </c>
      <c r="AF10" s="301">
        <v>3</v>
      </c>
      <c r="AG10" s="2" t="s">
        <v>51</v>
      </c>
      <c r="AH10" s="4"/>
    </row>
    <row r="11" spans="1:57" ht="15.95" customHeight="1" x14ac:dyDescent="0.25">
      <c r="A11" s="302" t="str">
        <f t="shared" ref="A11:A13" si="12">IF(C11&lt;&gt;"",dwgnoprefix,"")</f>
        <v>EDE</v>
      </c>
      <c r="B11" s="304" t="str">
        <f t="shared" ref="B11:B13" si="13">IF(C11&lt;&gt;"", dwgdelimiter,"")</f>
        <v>-</v>
      </c>
      <c r="C11" s="286">
        <v>501</v>
      </c>
      <c r="D11" s="284" t="s">
        <v>109</v>
      </c>
      <c r="E11" s="33">
        <v>7</v>
      </c>
      <c r="F11" s="34"/>
      <c r="G11" s="247"/>
      <c r="H11" s="248"/>
      <c r="I11" s="265">
        <v>0</v>
      </c>
      <c r="J11" s="266"/>
      <c r="K11" s="35"/>
      <c r="L11" s="36"/>
      <c r="M11" s="256"/>
      <c r="N11" s="257"/>
      <c r="O11" s="243"/>
      <c r="P11" s="244"/>
      <c r="Q11" s="37"/>
      <c r="R11" s="38"/>
      <c r="S11" s="37"/>
      <c r="T11" s="38"/>
      <c r="U11" s="37"/>
      <c r="V11" s="38"/>
      <c r="W11" s="37"/>
      <c r="X11" s="38"/>
      <c r="Y11" s="37"/>
      <c r="Z11" s="38"/>
      <c r="AA11" s="41"/>
      <c r="AB11" s="299"/>
      <c r="AC11" s="296" t="s">
        <v>375</v>
      </c>
      <c r="AD11" s="371"/>
      <c r="AE11" s="306" t="str">
        <f t="shared" ref="AE11:AE13" si="14">IF(OR(UPPER(TRIM(B11))="EDE",UPPER(TRIM(A11))="EDE"),UPPER(C11),IF(C11&lt;&gt;"",A11&amp;B11&amp;IF(C11&lt;=9,"000"&amp;TEXT(C11,0),IF(C11&lt;=99,"00"&amp;TEXT(C11,0),IF(C11&lt;999,"0"&amp;TEXT(C11,0),TEXT(C11,0)))),""))</f>
        <v>501</v>
      </c>
      <c r="AF11" s="301">
        <v>4</v>
      </c>
      <c r="AG11" s="2" t="s">
        <v>51</v>
      </c>
      <c r="AH11" s="4"/>
    </row>
    <row r="12" spans="1:57" ht="15.95" customHeight="1" x14ac:dyDescent="0.25">
      <c r="A12" s="302" t="str">
        <f t="shared" ref="A12" si="15">IF(C12&lt;&gt;"",dwgnoprefix,"")</f>
        <v>EDE</v>
      </c>
      <c r="B12" s="304" t="str">
        <f t="shared" ref="B12" si="16">IF(C12&lt;&gt;"", dwgdelimiter,"")</f>
        <v>-</v>
      </c>
      <c r="C12" s="286" t="s">
        <v>977</v>
      </c>
      <c r="D12" s="284" t="s">
        <v>109</v>
      </c>
      <c r="E12" s="33">
        <v>3</v>
      </c>
      <c r="F12" s="34"/>
      <c r="G12" s="247">
        <v>0</v>
      </c>
      <c r="H12" s="248"/>
      <c r="I12" s="265">
        <v>0</v>
      </c>
      <c r="J12" s="266"/>
      <c r="K12" s="35"/>
      <c r="L12" s="36"/>
      <c r="M12" s="256"/>
      <c r="N12" s="257"/>
      <c r="O12" s="243"/>
      <c r="P12" s="244"/>
      <c r="Q12" s="37"/>
      <c r="R12" s="38"/>
      <c r="S12" s="37"/>
      <c r="T12" s="38"/>
      <c r="U12" s="37"/>
      <c r="V12" s="38"/>
      <c r="W12" s="37"/>
      <c r="X12" s="38"/>
      <c r="Y12" s="37"/>
      <c r="Z12" s="38"/>
      <c r="AA12" s="41"/>
      <c r="AB12" s="299"/>
      <c r="AC12" s="296" t="s">
        <v>977</v>
      </c>
      <c r="AD12" s="371"/>
      <c r="AE12" s="306" t="str">
        <f t="shared" ref="AE12" si="17">IF(OR(UPPER(TRIM(B12))="EDE",UPPER(TRIM(A12))="EDE"),UPPER(C12),IF(C12&lt;&gt;"",A12&amp;B12&amp;IF(C12&lt;=9,"000"&amp;TEXT(C12,0),IF(C12&lt;=99,"00"&amp;TEXT(C12,0),IF(C12&lt;999,"0"&amp;TEXT(C12,0),TEXT(C12,0)))),""))</f>
        <v>???</v>
      </c>
      <c r="AF12" s="301">
        <v>5</v>
      </c>
      <c r="AG12" s="2" t="s">
        <v>51</v>
      </c>
      <c r="AH12" s="4"/>
    </row>
    <row r="13" spans="1:57" ht="15.95" customHeight="1" x14ac:dyDescent="0.25">
      <c r="A13" s="302" t="str">
        <f t="shared" si="12"/>
        <v>EDE</v>
      </c>
      <c r="B13" s="304" t="str">
        <f t="shared" si="13"/>
        <v>-</v>
      </c>
      <c r="C13" s="286" t="s">
        <v>977</v>
      </c>
      <c r="D13" s="284" t="s">
        <v>109</v>
      </c>
      <c r="E13" s="33">
        <v>3</v>
      </c>
      <c r="F13" s="34"/>
      <c r="G13" s="247">
        <v>0</v>
      </c>
      <c r="H13" s="248"/>
      <c r="I13" s="265">
        <v>0</v>
      </c>
      <c r="J13" s="266"/>
      <c r="K13" s="35"/>
      <c r="L13" s="36"/>
      <c r="M13" s="256"/>
      <c r="N13" s="257"/>
      <c r="O13" s="243"/>
      <c r="P13" s="244"/>
      <c r="Q13" s="37"/>
      <c r="R13" s="38"/>
      <c r="S13" s="37"/>
      <c r="T13" s="38"/>
      <c r="U13" s="37"/>
      <c r="V13" s="38"/>
      <c r="W13" s="37"/>
      <c r="X13" s="38"/>
      <c r="Y13" s="37"/>
      <c r="Z13" s="38"/>
      <c r="AA13" s="41"/>
      <c r="AB13" s="299"/>
      <c r="AC13" s="296" t="s">
        <v>977</v>
      </c>
      <c r="AD13" s="371"/>
      <c r="AE13" s="306" t="str">
        <f t="shared" si="14"/>
        <v>???</v>
      </c>
      <c r="AF13" s="301">
        <v>5</v>
      </c>
      <c r="AG13" s="2" t="s">
        <v>51</v>
      </c>
      <c r="AH13" s="4"/>
    </row>
    <row r="14" spans="1:57" ht="15.95" customHeight="1" x14ac:dyDescent="0.25">
      <c r="A14" s="302" t="str">
        <f t="shared" ref="A14:A15" si="18">IF(C14&lt;&gt;"",dwgnoprefix,"")</f>
        <v>EDE</v>
      </c>
      <c r="B14" s="304" t="str">
        <f t="shared" ref="B14:B15" si="19">IF(C14&lt;&gt;"", dwgdelimiter,"")</f>
        <v>-</v>
      </c>
      <c r="C14" s="286">
        <v>1005</v>
      </c>
      <c r="D14" s="284" t="s">
        <v>109</v>
      </c>
      <c r="E14" s="33">
        <v>3</v>
      </c>
      <c r="F14" s="34"/>
      <c r="G14" s="247">
        <v>0</v>
      </c>
      <c r="H14" s="248"/>
      <c r="I14" s="265">
        <v>0</v>
      </c>
      <c r="J14" s="266"/>
      <c r="K14" s="35"/>
      <c r="L14" s="36"/>
      <c r="M14" s="256"/>
      <c r="N14" s="257"/>
      <c r="O14" s="243"/>
      <c r="P14" s="244"/>
      <c r="Q14" s="37"/>
      <c r="R14" s="38"/>
      <c r="S14" s="37"/>
      <c r="T14" s="38"/>
      <c r="U14" s="37"/>
      <c r="V14" s="38"/>
      <c r="W14" s="37"/>
      <c r="X14" s="38"/>
      <c r="Y14" s="37"/>
      <c r="Z14" s="38"/>
      <c r="AA14" s="41"/>
      <c r="AB14" s="299"/>
      <c r="AC14" s="296" t="s">
        <v>388</v>
      </c>
      <c r="AD14" s="371"/>
      <c r="AE14" s="306" t="str">
        <f t="shared" ref="AE14:AE15" si="20">IF(OR(UPPER(TRIM(B14))="EDE",UPPER(TRIM(A14))="EDE"),UPPER(C14),IF(C14&lt;&gt;"",A14&amp;B14&amp;IF(C14&lt;=9,"000"&amp;TEXT(C14,0),IF(C14&lt;=99,"00"&amp;TEXT(C14,0),IF(C14&lt;999,"0"&amp;TEXT(C14,0),TEXT(C14,0)))),""))</f>
        <v>1005</v>
      </c>
      <c r="AF14" s="301">
        <v>5</v>
      </c>
      <c r="AG14" s="2" t="s">
        <v>51</v>
      </c>
      <c r="AH14" s="4"/>
    </row>
    <row r="15" spans="1:57" ht="15.95" customHeight="1" x14ac:dyDescent="0.25">
      <c r="A15" s="314" t="str">
        <f t="shared" si="18"/>
        <v>EDE</v>
      </c>
      <c r="B15" s="315" t="str">
        <f t="shared" si="19"/>
        <v>-</v>
      </c>
      <c r="C15" s="286" t="s">
        <v>977</v>
      </c>
      <c r="D15" s="284" t="s">
        <v>109</v>
      </c>
      <c r="E15" s="316">
        <v>3</v>
      </c>
      <c r="F15" s="317"/>
      <c r="G15" s="356">
        <v>0</v>
      </c>
      <c r="H15" s="360"/>
      <c r="I15" s="271">
        <v>0</v>
      </c>
      <c r="J15" s="272"/>
      <c r="K15" s="364"/>
      <c r="L15" s="368"/>
      <c r="M15" s="258"/>
      <c r="N15" s="259"/>
      <c r="O15" s="263"/>
      <c r="P15" s="245"/>
      <c r="Q15" s="223"/>
      <c r="R15" s="224"/>
      <c r="S15" s="223"/>
      <c r="T15" s="224"/>
      <c r="U15" s="223"/>
      <c r="V15" s="224"/>
      <c r="W15" s="223"/>
      <c r="X15" s="224"/>
      <c r="Y15" s="223"/>
      <c r="Z15" s="224"/>
      <c r="AA15" s="227"/>
      <c r="AB15" s="228"/>
      <c r="AC15" s="296" t="s">
        <v>977</v>
      </c>
      <c r="AD15" s="318"/>
      <c r="AE15" s="319" t="str">
        <f t="shared" si="20"/>
        <v>???</v>
      </c>
      <c r="AF15" s="301">
        <v>6</v>
      </c>
      <c r="AG15" s="2" t="s">
        <v>51</v>
      </c>
      <c r="AH15" s="4"/>
    </row>
    <row r="16" spans="1:57" ht="15.95" customHeight="1" x14ac:dyDescent="0.25">
      <c r="A16" s="314" t="str">
        <f t="shared" ref="A16:A58" si="21">IF(C16&lt;&gt;"",dwgnoprefix,"")</f>
        <v>EDE</v>
      </c>
      <c r="B16" s="315" t="str">
        <f t="shared" ref="B16:B58" si="22">IF(C16&lt;&gt;"", dwgdelimiter,"")</f>
        <v>-</v>
      </c>
      <c r="C16" s="286">
        <v>1006</v>
      </c>
      <c r="D16" s="284" t="s">
        <v>109</v>
      </c>
      <c r="E16" s="316">
        <v>3</v>
      </c>
      <c r="F16" s="317"/>
      <c r="G16" s="356">
        <v>0</v>
      </c>
      <c r="H16" s="360"/>
      <c r="I16" s="271">
        <v>0</v>
      </c>
      <c r="J16" s="272"/>
      <c r="K16" s="364"/>
      <c r="L16" s="368"/>
      <c r="M16" s="258"/>
      <c r="N16" s="259"/>
      <c r="O16" s="263"/>
      <c r="P16" s="245"/>
      <c r="Q16" s="223"/>
      <c r="R16" s="224"/>
      <c r="S16" s="223"/>
      <c r="T16" s="224"/>
      <c r="U16" s="223"/>
      <c r="V16" s="224"/>
      <c r="W16" s="223"/>
      <c r="X16" s="224"/>
      <c r="Y16" s="223"/>
      <c r="Z16" s="224"/>
      <c r="AA16" s="227"/>
      <c r="AB16" s="228"/>
      <c r="AC16" s="296" t="s">
        <v>389</v>
      </c>
      <c r="AD16" s="318"/>
      <c r="AE16" s="319" t="str">
        <f t="shared" ref="AE16:AE58" si="23">IF(OR(UPPER(TRIM(B16))="EDE",UPPER(TRIM(A16))="EDE"),UPPER(C16),IF(C16&lt;&gt;"",A16&amp;B16&amp;IF(C16&lt;=9,"000"&amp;TEXT(C16,0),IF(C16&lt;=99,"00"&amp;TEXT(C16,0),IF(C16&lt;999,"0"&amp;TEXT(C16,0),TEXT(C16,0)))),""))</f>
        <v>1006</v>
      </c>
      <c r="AF16" s="301">
        <v>6</v>
      </c>
      <c r="AG16" s="2" t="s">
        <v>51</v>
      </c>
      <c r="AH16" s="4"/>
    </row>
    <row r="17" spans="1:34" ht="15.95" customHeight="1" x14ac:dyDescent="0.25">
      <c r="A17" s="302" t="str">
        <f t="shared" ref="A17:A22" si="24">IF(C17&lt;&gt;"",dwgnoprefix,"")</f>
        <v>EDE</v>
      </c>
      <c r="B17" s="304" t="str">
        <f t="shared" ref="B17:B22" si="25">IF(C17&lt;&gt;"", dwgdelimiter,"")</f>
        <v>-</v>
      </c>
      <c r="C17" s="286" t="s">
        <v>977</v>
      </c>
      <c r="D17" s="284" t="s">
        <v>109</v>
      </c>
      <c r="E17" s="33">
        <v>3</v>
      </c>
      <c r="F17" s="34"/>
      <c r="G17" s="357">
        <v>0</v>
      </c>
      <c r="H17" s="359"/>
      <c r="I17" s="265">
        <v>0</v>
      </c>
      <c r="J17" s="266"/>
      <c r="K17" s="363"/>
      <c r="L17" s="367"/>
      <c r="M17" s="256"/>
      <c r="N17" s="257"/>
      <c r="O17" s="262"/>
      <c r="P17" s="244"/>
      <c r="Q17" s="37"/>
      <c r="R17" s="38"/>
      <c r="S17" s="37"/>
      <c r="T17" s="38"/>
      <c r="U17" s="37"/>
      <c r="V17" s="38"/>
      <c r="W17" s="37"/>
      <c r="X17" s="38"/>
      <c r="Y17" s="37"/>
      <c r="Z17" s="38"/>
      <c r="AA17" s="41"/>
      <c r="AB17" s="42"/>
      <c r="AC17" s="296" t="s">
        <v>977</v>
      </c>
      <c r="AD17" s="300"/>
      <c r="AE17" s="306" t="str">
        <f t="shared" ref="AE17:AE22" si="26">IF(OR(UPPER(TRIM(B17))="EDE",UPPER(TRIM(A17))="EDE"),UPPER(C17),IF(C17&lt;&gt;"",A17&amp;B17&amp;IF(C17&lt;=9,"000"&amp;TEXT(C17,0),IF(C17&lt;=99,"00"&amp;TEXT(C17,0),IF(C17&lt;999,"0"&amp;TEXT(C17,0),TEXT(C17,0)))),""))</f>
        <v>???</v>
      </c>
      <c r="AF17" s="301">
        <v>7</v>
      </c>
      <c r="AG17" s="2" t="s">
        <v>49</v>
      </c>
      <c r="AH17" s="4"/>
    </row>
    <row r="18" spans="1:34" ht="15.95" customHeight="1" x14ac:dyDescent="0.25">
      <c r="A18" s="302" t="str">
        <f t="shared" si="24"/>
        <v>EDE</v>
      </c>
      <c r="B18" s="304" t="str">
        <f t="shared" si="25"/>
        <v>-</v>
      </c>
      <c r="C18" s="286" t="s">
        <v>977</v>
      </c>
      <c r="D18" s="284" t="s">
        <v>109</v>
      </c>
      <c r="E18" s="33">
        <v>3</v>
      </c>
      <c r="F18" s="34"/>
      <c r="G18" s="357">
        <v>0</v>
      </c>
      <c r="H18" s="359"/>
      <c r="I18" s="265">
        <v>0</v>
      </c>
      <c r="J18" s="266"/>
      <c r="K18" s="363"/>
      <c r="L18" s="367"/>
      <c r="M18" s="256"/>
      <c r="N18" s="257"/>
      <c r="O18" s="262"/>
      <c r="P18" s="244"/>
      <c r="Q18" s="37"/>
      <c r="R18" s="38"/>
      <c r="S18" s="37"/>
      <c r="T18" s="38"/>
      <c r="U18" s="37"/>
      <c r="V18" s="38"/>
      <c r="W18" s="37"/>
      <c r="X18" s="38"/>
      <c r="Y18" s="37"/>
      <c r="Z18" s="38"/>
      <c r="AA18" s="41"/>
      <c r="AB18" s="42"/>
      <c r="AC18" s="296" t="s">
        <v>977</v>
      </c>
      <c r="AD18" s="300"/>
      <c r="AE18" s="306" t="str">
        <f t="shared" si="26"/>
        <v>???</v>
      </c>
      <c r="AF18" s="301">
        <v>7</v>
      </c>
      <c r="AG18" s="2" t="s">
        <v>49</v>
      </c>
      <c r="AH18" s="4"/>
    </row>
    <row r="19" spans="1:34" ht="15.95" customHeight="1" x14ac:dyDescent="0.25">
      <c r="A19" s="302" t="str">
        <f t="shared" si="24"/>
        <v>EDE</v>
      </c>
      <c r="B19" s="304" t="str">
        <f t="shared" si="25"/>
        <v>-</v>
      </c>
      <c r="C19" s="286" t="s">
        <v>977</v>
      </c>
      <c r="D19" s="284" t="s">
        <v>109</v>
      </c>
      <c r="E19" s="33">
        <v>3</v>
      </c>
      <c r="F19" s="34"/>
      <c r="G19" s="357">
        <v>0</v>
      </c>
      <c r="H19" s="359"/>
      <c r="I19" s="265">
        <v>0</v>
      </c>
      <c r="J19" s="266"/>
      <c r="K19" s="363"/>
      <c r="L19" s="367"/>
      <c r="M19" s="256"/>
      <c r="N19" s="257"/>
      <c r="O19" s="262"/>
      <c r="P19" s="244"/>
      <c r="Q19" s="37"/>
      <c r="R19" s="38"/>
      <c r="S19" s="37"/>
      <c r="T19" s="38"/>
      <c r="U19" s="37"/>
      <c r="V19" s="38"/>
      <c r="W19" s="37"/>
      <c r="X19" s="38"/>
      <c r="Y19" s="37"/>
      <c r="Z19" s="38"/>
      <c r="AA19" s="41"/>
      <c r="AB19" s="42"/>
      <c r="AC19" s="296" t="s">
        <v>977</v>
      </c>
      <c r="AD19" s="300"/>
      <c r="AE19" s="306" t="str">
        <f t="shared" si="26"/>
        <v>???</v>
      </c>
      <c r="AF19" s="301">
        <v>7</v>
      </c>
      <c r="AG19" s="2" t="s">
        <v>49</v>
      </c>
      <c r="AH19" s="4"/>
    </row>
    <row r="20" spans="1:34" ht="15.95" customHeight="1" x14ac:dyDescent="0.25">
      <c r="A20" s="302" t="str">
        <f t="shared" si="24"/>
        <v>EDE</v>
      </c>
      <c r="B20" s="304" t="str">
        <f t="shared" si="25"/>
        <v>-</v>
      </c>
      <c r="C20" s="286" t="s">
        <v>977</v>
      </c>
      <c r="D20" s="284" t="s">
        <v>109</v>
      </c>
      <c r="E20" s="33">
        <v>3</v>
      </c>
      <c r="F20" s="34"/>
      <c r="G20" s="357">
        <v>0</v>
      </c>
      <c r="H20" s="359"/>
      <c r="I20" s="265">
        <v>0</v>
      </c>
      <c r="J20" s="266"/>
      <c r="K20" s="363"/>
      <c r="L20" s="367"/>
      <c r="M20" s="256"/>
      <c r="N20" s="257"/>
      <c r="O20" s="262"/>
      <c r="P20" s="244"/>
      <c r="Q20" s="37"/>
      <c r="R20" s="38"/>
      <c r="S20" s="37"/>
      <c r="T20" s="38"/>
      <c r="U20" s="37"/>
      <c r="V20" s="38"/>
      <c r="W20" s="37"/>
      <c r="X20" s="38"/>
      <c r="Y20" s="37"/>
      <c r="Z20" s="38"/>
      <c r="AA20" s="41"/>
      <c r="AB20" s="42"/>
      <c r="AC20" s="296" t="s">
        <v>977</v>
      </c>
      <c r="AD20" s="300"/>
      <c r="AE20" s="306" t="str">
        <f t="shared" si="26"/>
        <v>???</v>
      </c>
      <c r="AF20" s="301">
        <v>7</v>
      </c>
      <c r="AG20" s="2" t="s">
        <v>49</v>
      </c>
      <c r="AH20" s="4"/>
    </row>
    <row r="21" spans="1:34" ht="15.95" customHeight="1" x14ac:dyDescent="0.25">
      <c r="A21" s="302" t="str">
        <f t="shared" si="24"/>
        <v>EDE</v>
      </c>
      <c r="B21" s="304" t="str">
        <f t="shared" si="25"/>
        <v>-</v>
      </c>
      <c r="C21" s="286" t="s">
        <v>977</v>
      </c>
      <c r="D21" s="284" t="s">
        <v>109</v>
      </c>
      <c r="E21" s="33">
        <v>3</v>
      </c>
      <c r="F21" s="34"/>
      <c r="G21" s="357">
        <v>0</v>
      </c>
      <c r="H21" s="359"/>
      <c r="I21" s="265">
        <v>0</v>
      </c>
      <c r="J21" s="266"/>
      <c r="K21" s="363"/>
      <c r="L21" s="367"/>
      <c r="M21" s="256"/>
      <c r="N21" s="257"/>
      <c r="O21" s="262"/>
      <c r="P21" s="244"/>
      <c r="Q21" s="37"/>
      <c r="R21" s="38"/>
      <c r="S21" s="37"/>
      <c r="T21" s="38"/>
      <c r="U21" s="37"/>
      <c r="V21" s="38"/>
      <c r="W21" s="37"/>
      <c r="X21" s="38"/>
      <c r="Y21" s="37"/>
      <c r="Z21" s="38"/>
      <c r="AA21" s="41"/>
      <c r="AB21" s="42"/>
      <c r="AC21" s="296" t="s">
        <v>977</v>
      </c>
      <c r="AD21" s="300"/>
      <c r="AE21" s="306" t="str">
        <f t="shared" si="26"/>
        <v>???</v>
      </c>
      <c r="AF21" s="301">
        <v>7</v>
      </c>
      <c r="AG21" s="2" t="s">
        <v>49</v>
      </c>
      <c r="AH21" s="4"/>
    </row>
    <row r="22" spans="1:34" ht="15.95" customHeight="1" x14ac:dyDescent="0.25">
      <c r="A22" s="302" t="str">
        <f t="shared" si="24"/>
        <v>EDE</v>
      </c>
      <c r="B22" s="304" t="str">
        <f t="shared" si="25"/>
        <v>-</v>
      </c>
      <c r="C22" s="286" t="s">
        <v>977</v>
      </c>
      <c r="D22" s="284" t="s">
        <v>109</v>
      </c>
      <c r="E22" s="33">
        <v>3</v>
      </c>
      <c r="F22" s="34"/>
      <c r="G22" s="357">
        <v>0</v>
      </c>
      <c r="H22" s="359"/>
      <c r="I22" s="265">
        <v>0</v>
      </c>
      <c r="J22" s="266"/>
      <c r="K22" s="363"/>
      <c r="L22" s="367"/>
      <c r="M22" s="256"/>
      <c r="N22" s="257"/>
      <c r="O22" s="262"/>
      <c r="P22" s="244"/>
      <c r="Q22" s="37"/>
      <c r="R22" s="38"/>
      <c r="S22" s="37"/>
      <c r="T22" s="38"/>
      <c r="U22" s="37"/>
      <c r="V22" s="38"/>
      <c r="W22" s="37"/>
      <c r="X22" s="38"/>
      <c r="Y22" s="37"/>
      <c r="Z22" s="38"/>
      <c r="AA22" s="41"/>
      <c r="AB22" s="42"/>
      <c r="AC22" s="296" t="s">
        <v>977</v>
      </c>
      <c r="AD22" s="300"/>
      <c r="AE22" s="306" t="str">
        <f t="shared" si="26"/>
        <v>???</v>
      </c>
      <c r="AF22" s="301">
        <v>7</v>
      </c>
      <c r="AG22" s="2" t="s">
        <v>49</v>
      </c>
      <c r="AH22" s="4"/>
    </row>
    <row r="23" spans="1:34" ht="15.95" customHeight="1" x14ac:dyDescent="0.25">
      <c r="A23" s="302" t="str">
        <f t="shared" si="21"/>
        <v>EDE</v>
      </c>
      <c r="B23" s="304" t="str">
        <f t="shared" si="22"/>
        <v>-</v>
      </c>
      <c r="C23" s="286" t="s">
        <v>977</v>
      </c>
      <c r="D23" s="284" t="s">
        <v>109</v>
      </c>
      <c r="E23" s="33">
        <v>3</v>
      </c>
      <c r="F23" s="34"/>
      <c r="G23" s="357">
        <v>0</v>
      </c>
      <c r="H23" s="359"/>
      <c r="I23" s="265">
        <v>0</v>
      </c>
      <c r="J23" s="266"/>
      <c r="K23" s="363"/>
      <c r="L23" s="367"/>
      <c r="M23" s="256"/>
      <c r="N23" s="257"/>
      <c r="O23" s="262"/>
      <c r="P23" s="244"/>
      <c r="Q23" s="37"/>
      <c r="R23" s="38"/>
      <c r="S23" s="37"/>
      <c r="T23" s="38"/>
      <c r="U23" s="37"/>
      <c r="V23" s="38"/>
      <c r="W23" s="37"/>
      <c r="X23" s="38"/>
      <c r="Y23" s="37"/>
      <c r="Z23" s="38"/>
      <c r="AA23" s="41"/>
      <c r="AB23" s="42"/>
      <c r="AC23" s="296" t="s">
        <v>977</v>
      </c>
      <c r="AD23" s="300"/>
      <c r="AE23" s="306" t="str">
        <f t="shared" si="23"/>
        <v>???</v>
      </c>
      <c r="AF23" s="301">
        <v>7</v>
      </c>
      <c r="AG23" s="2" t="s">
        <v>49</v>
      </c>
      <c r="AH23" s="4"/>
    </row>
    <row r="24" spans="1:34" ht="15.95" customHeight="1" x14ac:dyDescent="0.25">
      <c r="A24" s="302" t="str">
        <f t="shared" ref="A24" si="27">IF(C24&lt;&gt;"",dwgnoprefix,"")</f>
        <v>EDE</v>
      </c>
      <c r="B24" s="304" t="str">
        <f t="shared" ref="B24" si="28">IF(C24&lt;&gt;"", dwgdelimiter,"")</f>
        <v>-</v>
      </c>
      <c r="C24" s="286">
        <v>1008</v>
      </c>
      <c r="D24" s="284" t="s">
        <v>109</v>
      </c>
      <c r="E24" s="33">
        <v>3</v>
      </c>
      <c r="F24" s="34"/>
      <c r="G24" s="357">
        <v>0</v>
      </c>
      <c r="H24" s="359"/>
      <c r="I24" s="265">
        <v>0</v>
      </c>
      <c r="J24" s="266"/>
      <c r="K24" s="363"/>
      <c r="L24" s="367"/>
      <c r="M24" s="256"/>
      <c r="N24" s="257"/>
      <c r="O24" s="262"/>
      <c r="P24" s="244"/>
      <c r="Q24" s="37"/>
      <c r="R24" s="38"/>
      <c r="S24" s="37"/>
      <c r="T24" s="38"/>
      <c r="U24" s="37"/>
      <c r="V24" s="38"/>
      <c r="W24" s="37"/>
      <c r="X24" s="38"/>
      <c r="Y24" s="37"/>
      <c r="Z24" s="38"/>
      <c r="AA24" s="41"/>
      <c r="AB24" s="42"/>
      <c r="AC24" s="296" t="s">
        <v>390</v>
      </c>
      <c r="AD24" s="300"/>
      <c r="AE24" s="306" t="str">
        <f t="shared" ref="AE24" si="29">IF(OR(UPPER(TRIM(B24))="EDE",UPPER(TRIM(A24))="EDE"),UPPER(C24),IF(C24&lt;&gt;"",A24&amp;B24&amp;IF(C24&lt;=9,"000"&amp;TEXT(C24,0),IF(C24&lt;=99,"00"&amp;TEXT(C24,0),IF(C24&lt;999,"0"&amp;TEXT(C24,0),TEXT(C24,0)))),""))</f>
        <v>1008</v>
      </c>
      <c r="AF24" s="301">
        <v>7</v>
      </c>
      <c r="AG24" s="2" t="s">
        <v>49</v>
      </c>
      <c r="AH24" s="4"/>
    </row>
    <row r="25" spans="1:34" ht="15.75" customHeight="1" x14ac:dyDescent="0.25">
      <c r="A25" s="302" t="str">
        <f t="shared" si="21"/>
        <v>EDE</v>
      </c>
      <c r="B25" s="304" t="str">
        <f t="shared" si="22"/>
        <v>-</v>
      </c>
      <c r="C25" s="286">
        <v>505</v>
      </c>
      <c r="D25" s="284" t="s">
        <v>110</v>
      </c>
      <c r="E25" s="33">
        <v>2</v>
      </c>
      <c r="F25" s="34"/>
      <c r="G25" s="357"/>
      <c r="H25" s="359"/>
      <c r="I25" s="265">
        <v>0</v>
      </c>
      <c r="J25" s="266"/>
      <c r="K25" s="363"/>
      <c r="L25" s="367"/>
      <c r="M25" s="256"/>
      <c r="N25" s="257"/>
      <c r="O25" s="262"/>
      <c r="P25" s="244"/>
      <c r="Q25" s="39"/>
      <c r="R25" s="38"/>
      <c r="S25" s="37"/>
      <c r="T25" s="38"/>
      <c r="U25" s="37"/>
      <c r="V25" s="38"/>
      <c r="W25" s="37"/>
      <c r="X25" s="38"/>
      <c r="Y25" s="37"/>
      <c r="Z25" s="40"/>
      <c r="AA25" s="41"/>
      <c r="AB25" s="42"/>
      <c r="AC25" s="296" t="s">
        <v>376</v>
      </c>
      <c r="AD25" s="300"/>
      <c r="AE25" s="306" t="str">
        <f t="shared" si="23"/>
        <v>505</v>
      </c>
      <c r="AF25" s="301">
        <v>8</v>
      </c>
      <c r="AG25" s="2" t="s">
        <v>49</v>
      </c>
      <c r="AH25" s="4"/>
    </row>
    <row r="26" spans="1:34" ht="15.95" customHeight="1" x14ac:dyDescent="0.25">
      <c r="A26" s="302" t="str">
        <f t="shared" si="21"/>
        <v>EDE</v>
      </c>
      <c r="B26" s="304" t="str">
        <f t="shared" si="22"/>
        <v>-</v>
      </c>
      <c r="C26" s="286">
        <v>601</v>
      </c>
      <c r="D26" s="351" t="s">
        <v>110</v>
      </c>
      <c r="E26" s="33">
        <v>5</v>
      </c>
      <c r="F26" s="34" t="s">
        <v>20</v>
      </c>
      <c r="G26" s="357"/>
      <c r="H26" s="359"/>
      <c r="I26" s="265">
        <v>6</v>
      </c>
      <c r="J26" s="266"/>
      <c r="K26" s="363"/>
      <c r="L26" s="367"/>
      <c r="M26" s="256"/>
      <c r="N26" s="257"/>
      <c r="O26" s="262"/>
      <c r="P26" s="244"/>
      <c r="Q26" s="39"/>
      <c r="R26" s="38"/>
      <c r="S26" s="37"/>
      <c r="T26" s="38"/>
      <c r="U26" s="37"/>
      <c r="V26" s="38"/>
      <c r="W26" s="37"/>
      <c r="X26" s="38"/>
      <c r="Y26" s="37"/>
      <c r="Z26" s="40"/>
      <c r="AA26" s="41"/>
      <c r="AB26" s="42"/>
      <c r="AC26" s="296" t="s">
        <v>377</v>
      </c>
      <c r="AD26" s="300"/>
      <c r="AE26" s="306" t="str">
        <f t="shared" si="23"/>
        <v>601</v>
      </c>
      <c r="AF26" s="301">
        <v>9</v>
      </c>
      <c r="AG26" s="2" t="s">
        <v>49</v>
      </c>
      <c r="AH26" s="4"/>
    </row>
    <row r="27" spans="1:34" ht="15.95" customHeight="1" x14ac:dyDescent="0.25">
      <c r="A27" s="302" t="str">
        <f t="shared" si="21"/>
        <v>EDE</v>
      </c>
      <c r="B27" s="304" t="str">
        <f t="shared" si="22"/>
        <v>-</v>
      </c>
      <c r="C27" s="286">
        <v>605</v>
      </c>
      <c r="D27" s="351" t="s">
        <v>110</v>
      </c>
      <c r="E27" s="33">
        <v>0</v>
      </c>
      <c r="F27" s="34"/>
      <c r="G27" s="357"/>
      <c r="H27" s="359"/>
      <c r="I27" s="265">
        <v>5</v>
      </c>
      <c r="J27" s="266"/>
      <c r="K27" s="363"/>
      <c r="L27" s="367"/>
      <c r="M27" s="256"/>
      <c r="N27" s="257"/>
      <c r="O27" s="262"/>
      <c r="P27" s="244"/>
      <c r="Q27" s="39"/>
      <c r="R27" s="38"/>
      <c r="S27" s="37"/>
      <c r="T27" s="38"/>
      <c r="U27" s="37"/>
      <c r="V27" s="38"/>
      <c r="W27" s="37"/>
      <c r="X27" s="38"/>
      <c r="Y27" s="37"/>
      <c r="Z27" s="40"/>
      <c r="AA27" s="41"/>
      <c r="AB27" s="42"/>
      <c r="AC27" s="296" t="s">
        <v>378</v>
      </c>
      <c r="AD27" s="300"/>
      <c r="AE27" s="306" t="str">
        <f t="shared" si="23"/>
        <v>605</v>
      </c>
      <c r="AF27" s="301">
        <v>10</v>
      </c>
      <c r="AH27" s="4"/>
    </row>
    <row r="28" spans="1:34" ht="15.95" customHeight="1" x14ac:dyDescent="0.25">
      <c r="A28" s="302" t="str">
        <f t="shared" si="21"/>
        <v>EDE</v>
      </c>
      <c r="B28" s="304" t="str">
        <f t="shared" si="22"/>
        <v>-</v>
      </c>
      <c r="C28" s="286">
        <v>650</v>
      </c>
      <c r="D28" s="351" t="s">
        <v>110</v>
      </c>
      <c r="E28" s="33">
        <v>0</v>
      </c>
      <c r="F28" s="34"/>
      <c r="G28" s="357"/>
      <c r="H28" s="359"/>
      <c r="I28" s="265">
        <v>6</v>
      </c>
      <c r="J28" s="266"/>
      <c r="K28" s="363"/>
      <c r="L28" s="367"/>
      <c r="M28" s="256"/>
      <c r="N28" s="257"/>
      <c r="O28" s="262"/>
      <c r="P28" s="244"/>
      <c r="Q28" s="39"/>
      <c r="R28" s="38"/>
      <c r="S28" s="37"/>
      <c r="T28" s="38"/>
      <c r="U28" s="37"/>
      <c r="V28" s="38"/>
      <c r="W28" s="37"/>
      <c r="X28" s="38"/>
      <c r="Y28" s="37"/>
      <c r="Z28" s="40"/>
      <c r="AA28" s="41"/>
      <c r="AB28" s="42"/>
      <c r="AC28" s="296" t="s">
        <v>379</v>
      </c>
      <c r="AD28" s="300"/>
      <c r="AE28" s="306" t="str">
        <f t="shared" si="23"/>
        <v>650</v>
      </c>
      <c r="AF28" s="301">
        <v>11</v>
      </c>
      <c r="AH28" s="4"/>
    </row>
    <row r="29" spans="1:34" ht="15.95" customHeight="1" x14ac:dyDescent="0.25">
      <c r="A29" s="302" t="str">
        <f t="shared" si="21"/>
        <v>EDE</v>
      </c>
      <c r="B29" s="304" t="str">
        <f t="shared" si="22"/>
        <v>-</v>
      </c>
      <c r="C29" s="286">
        <v>655</v>
      </c>
      <c r="D29" s="351" t="s">
        <v>110</v>
      </c>
      <c r="E29" s="33">
        <v>0</v>
      </c>
      <c r="F29" s="34"/>
      <c r="G29" s="357"/>
      <c r="H29" s="359"/>
      <c r="I29" s="265">
        <v>6</v>
      </c>
      <c r="J29" s="266"/>
      <c r="K29" s="363"/>
      <c r="L29" s="367"/>
      <c r="M29" s="256"/>
      <c r="N29" s="257"/>
      <c r="O29" s="262"/>
      <c r="P29" s="244"/>
      <c r="Q29" s="39"/>
      <c r="R29" s="38"/>
      <c r="S29" s="37"/>
      <c r="T29" s="38"/>
      <c r="U29" s="37"/>
      <c r="V29" s="38"/>
      <c r="W29" s="37"/>
      <c r="X29" s="38"/>
      <c r="Y29" s="37"/>
      <c r="Z29" s="40"/>
      <c r="AA29" s="41"/>
      <c r="AB29" s="42"/>
      <c r="AC29" s="296" t="s">
        <v>380</v>
      </c>
      <c r="AD29" s="300"/>
      <c r="AE29" s="306" t="str">
        <f t="shared" si="23"/>
        <v>655</v>
      </c>
      <c r="AF29" s="301">
        <v>12</v>
      </c>
      <c r="AG29" s="2" t="s">
        <v>49</v>
      </c>
      <c r="AH29" s="4"/>
    </row>
    <row r="30" spans="1:34" ht="15.95" customHeight="1" x14ac:dyDescent="0.25">
      <c r="A30" s="302" t="str">
        <f t="shared" si="21"/>
        <v>EDE</v>
      </c>
      <c r="B30" s="304" t="str">
        <f t="shared" si="22"/>
        <v>-</v>
      </c>
      <c r="C30" s="286">
        <v>701</v>
      </c>
      <c r="D30" s="351" t="s">
        <v>110</v>
      </c>
      <c r="E30" s="33">
        <v>0</v>
      </c>
      <c r="F30" s="34"/>
      <c r="G30" s="357"/>
      <c r="H30" s="359"/>
      <c r="I30" s="265">
        <v>5</v>
      </c>
      <c r="J30" s="266"/>
      <c r="K30" s="363"/>
      <c r="L30" s="367"/>
      <c r="M30" s="256"/>
      <c r="N30" s="257"/>
      <c r="O30" s="262"/>
      <c r="P30" s="244"/>
      <c r="Q30" s="39"/>
      <c r="R30" s="38"/>
      <c r="S30" s="37"/>
      <c r="T30" s="38"/>
      <c r="U30" s="37"/>
      <c r="V30" s="38"/>
      <c r="W30" s="37"/>
      <c r="X30" s="38"/>
      <c r="Y30" s="37"/>
      <c r="Z30" s="40"/>
      <c r="AA30" s="41"/>
      <c r="AB30" s="42"/>
      <c r="AC30" s="296" t="s">
        <v>381</v>
      </c>
      <c r="AD30" s="300"/>
      <c r="AE30" s="306" t="str">
        <f t="shared" si="23"/>
        <v>701</v>
      </c>
      <c r="AF30" s="301">
        <v>13</v>
      </c>
      <c r="AG30" s="2" t="s">
        <v>49</v>
      </c>
      <c r="AH30" s="4"/>
    </row>
    <row r="31" spans="1:34" ht="15.95" customHeight="1" x14ac:dyDescent="0.25">
      <c r="A31" s="302" t="str">
        <f t="shared" si="21"/>
        <v>EDE</v>
      </c>
      <c r="B31" s="304" t="str">
        <f t="shared" si="22"/>
        <v>-</v>
      </c>
      <c r="C31" s="286">
        <v>702</v>
      </c>
      <c r="D31" s="351" t="s">
        <v>112</v>
      </c>
      <c r="E31" s="33">
        <v>0</v>
      </c>
      <c r="F31" s="34"/>
      <c r="G31" s="357"/>
      <c r="H31" s="359"/>
      <c r="I31" s="265">
        <v>3</v>
      </c>
      <c r="J31" s="266"/>
      <c r="K31" s="363"/>
      <c r="L31" s="367"/>
      <c r="M31" s="256"/>
      <c r="N31" s="257"/>
      <c r="O31" s="262"/>
      <c r="P31" s="244"/>
      <c r="Q31" s="39"/>
      <c r="R31" s="38"/>
      <c r="S31" s="37"/>
      <c r="T31" s="38"/>
      <c r="U31" s="37"/>
      <c r="V31" s="38"/>
      <c r="W31" s="37"/>
      <c r="X31" s="38"/>
      <c r="Y31" s="37"/>
      <c r="Z31" s="40"/>
      <c r="AA31" s="41"/>
      <c r="AB31" s="42"/>
      <c r="AC31" s="296" t="s">
        <v>382</v>
      </c>
      <c r="AD31" s="300"/>
      <c r="AE31" s="306" t="str">
        <f t="shared" si="23"/>
        <v>702</v>
      </c>
      <c r="AF31" s="301">
        <v>14</v>
      </c>
      <c r="AG31" s="2" t="s">
        <v>49</v>
      </c>
      <c r="AH31" s="4"/>
    </row>
    <row r="32" spans="1:34" ht="15.95" customHeight="1" x14ac:dyDescent="0.25">
      <c r="A32" s="302" t="str">
        <f t="shared" si="21"/>
        <v>EDE</v>
      </c>
      <c r="B32" s="304" t="str">
        <f t="shared" si="22"/>
        <v>-</v>
      </c>
      <c r="C32" s="286">
        <v>703</v>
      </c>
      <c r="D32" s="351" t="s">
        <v>112</v>
      </c>
      <c r="E32" s="33">
        <v>0</v>
      </c>
      <c r="F32" s="34"/>
      <c r="G32" s="357"/>
      <c r="H32" s="359"/>
      <c r="I32" s="265">
        <v>0</v>
      </c>
      <c r="J32" s="266"/>
      <c r="K32" s="363"/>
      <c r="L32" s="367"/>
      <c r="M32" s="256"/>
      <c r="N32" s="257"/>
      <c r="O32" s="262"/>
      <c r="P32" s="244"/>
      <c r="Q32" s="39"/>
      <c r="R32" s="38"/>
      <c r="S32" s="37"/>
      <c r="T32" s="38"/>
      <c r="U32" s="37"/>
      <c r="V32" s="38"/>
      <c r="W32" s="37"/>
      <c r="X32" s="38"/>
      <c r="Y32" s="37"/>
      <c r="Z32" s="40"/>
      <c r="AA32" s="41"/>
      <c r="AB32" s="42"/>
      <c r="AC32" s="296" t="s">
        <v>383</v>
      </c>
      <c r="AD32" s="300"/>
      <c r="AE32" s="306" t="str">
        <f t="shared" si="23"/>
        <v>703</v>
      </c>
      <c r="AF32" s="301">
        <v>15</v>
      </c>
      <c r="AG32" s="2" t="s">
        <v>49</v>
      </c>
      <c r="AH32" s="4"/>
    </row>
    <row r="33" spans="1:34" ht="15.95" customHeight="1" x14ac:dyDescent="0.25">
      <c r="A33" s="302" t="str">
        <f t="shared" si="21"/>
        <v>EDE</v>
      </c>
      <c r="B33" s="304" t="str">
        <f t="shared" si="22"/>
        <v>-</v>
      </c>
      <c r="C33" s="286">
        <v>1001</v>
      </c>
      <c r="D33" s="351" t="s">
        <v>356</v>
      </c>
      <c r="E33" s="33">
        <v>0</v>
      </c>
      <c r="F33" s="34"/>
      <c r="G33" s="357"/>
      <c r="H33" s="359"/>
      <c r="I33" s="265">
        <v>5</v>
      </c>
      <c r="J33" s="266"/>
      <c r="K33" s="363"/>
      <c r="L33" s="367"/>
      <c r="M33" s="256"/>
      <c r="N33" s="257"/>
      <c r="O33" s="262"/>
      <c r="P33" s="244"/>
      <c r="Q33" s="39"/>
      <c r="R33" s="38"/>
      <c r="S33" s="37"/>
      <c r="T33" s="38"/>
      <c r="U33" s="37"/>
      <c r="V33" s="38"/>
      <c r="W33" s="37"/>
      <c r="X33" s="38"/>
      <c r="Y33" s="37"/>
      <c r="Z33" s="40"/>
      <c r="AA33" s="41"/>
      <c r="AB33" s="42"/>
      <c r="AC33" s="296" t="s">
        <v>384</v>
      </c>
      <c r="AD33" s="300"/>
      <c r="AE33" s="306" t="str">
        <f t="shared" si="23"/>
        <v>1001</v>
      </c>
      <c r="AF33" s="301"/>
      <c r="AG33" s="2" t="s">
        <v>49</v>
      </c>
      <c r="AH33" s="4"/>
    </row>
    <row r="34" spans="1:34" ht="15.95" customHeight="1" x14ac:dyDescent="0.25">
      <c r="A34" s="302" t="str">
        <f t="shared" si="21"/>
        <v>EDE</v>
      </c>
      <c r="B34" s="304" t="str">
        <f t="shared" si="22"/>
        <v>-</v>
      </c>
      <c r="C34" s="286">
        <v>1002</v>
      </c>
      <c r="D34" s="351" t="s">
        <v>356</v>
      </c>
      <c r="E34" s="33">
        <v>0</v>
      </c>
      <c r="F34" s="34"/>
      <c r="G34" s="357"/>
      <c r="H34" s="359"/>
      <c r="I34" s="265">
        <v>2</v>
      </c>
      <c r="J34" s="266"/>
      <c r="K34" s="363"/>
      <c r="L34" s="367"/>
      <c r="M34" s="256"/>
      <c r="N34" s="257"/>
      <c r="O34" s="262"/>
      <c r="P34" s="244"/>
      <c r="Q34" s="39"/>
      <c r="R34" s="38"/>
      <c r="S34" s="37"/>
      <c r="T34" s="38"/>
      <c r="U34" s="37"/>
      <c r="V34" s="38"/>
      <c r="W34" s="37"/>
      <c r="X34" s="38"/>
      <c r="Y34" s="37"/>
      <c r="Z34" s="40"/>
      <c r="AA34" s="41"/>
      <c r="AB34" s="42"/>
      <c r="AC34" s="296" t="s">
        <v>385</v>
      </c>
      <c r="AD34" s="300"/>
      <c r="AE34" s="306" t="str">
        <f t="shared" si="23"/>
        <v>1002</v>
      </c>
      <c r="AF34" s="375"/>
      <c r="AG34" s="2" t="s">
        <v>49</v>
      </c>
      <c r="AH34" s="4"/>
    </row>
    <row r="35" spans="1:34" ht="15.95" customHeight="1" x14ac:dyDescent="0.25">
      <c r="A35" s="302" t="str">
        <f t="shared" ref="A35" si="30">IF(C35&lt;&gt;"",dwgnoprefix,"")</f>
        <v>EDE</v>
      </c>
      <c r="B35" s="304" t="str">
        <f t="shared" ref="B35" si="31">IF(C35&lt;&gt;"", dwgdelimiter,"")</f>
        <v>-</v>
      </c>
      <c r="C35" s="286">
        <v>1003</v>
      </c>
      <c r="D35" s="351" t="s">
        <v>356</v>
      </c>
      <c r="E35" s="33">
        <v>0</v>
      </c>
      <c r="F35" s="34"/>
      <c r="G35" s="357"/>
      <c r="H35" s="359"/>
      <c r="I35" s="265">
        <v>2</v>
      </c>
      <c r="J35" s="266"/>
      <c r="K35" s="363"/>
      <c r="L35" s="367"/>
      <c r="M35" s="256"/>
      <c r="N35" s="257"/>
      <c r="O35" s="262"/>
      <c r="P35" s="244"/>
      <c r="Q35" s="39"/>
      <c r="R35" s="38"/>
      <c r="S35" s="37"/>
      <c r="T35" s="38"/>
      <c r="U35" s="37"/>
      <c r="V35" s="38"/>
      <c r="W35" s="37"/>
      <c r="X35" s="38"/>
      <c r="Y35" s="37"/>
      <c r="Z35" s="40"/>
      <c r="AA35" s="41"/>
      <c r="AB35" s="42"/>
      <c r="AC35" s="296" t="s">
        <v>386</v>
      </c>
      <c r="AD35" s="300"/>
      <c r="AE35" s="306" t="str">
        <f t="shared" ref="AE35" si="32">IF(OR(UPPER(TRIM(B35))="EDE",UPPER(TRIM(A35))="EDE"),UPPER(C35),IF(C35&lt;&gt;"",A35&amp;B35&amp;IF(C35&lt;=9,"000"&amp;TEXT(C35,0),IF(C35&lt;=99,"00"&amp;TEXT(C35,0),IF(C35&lt;999,"0"&amp;TEXT(C35,0),TEXT(C35,0)))),""))</f>
        <v>1003</v>
      </c>
      <c r="AF35" s="375"/>
      <c r="AG35" s="2" t="s">
        <v>49</v>
      </c>
      <c r="AH35" s="4"/>
    </row>
    <row r="36" spans="1:34" ht="15.95" customHeight="1" x14ac:dyDescent="0.25">
      <c r="A36" s="302" t="str">
        <f t="shared" si="21"/>
        <v/>
      </c>
      <c r="B36" s="304" t="str">
        <f t="shared" si="22"/>
        <v/>
      </c>
      <c r="C36" s="286"/>
      <c r="D36" s="351"/>
      <c r="E36" s="33"/>
      <c r="F36" s="34"/>
      <c r="G36" s="357"/>
      <c r="H36" s="359"/>
      <c r="I36" s="265"/>
      <c r="J36" s="266"/>
      <c r="K36" s="363"/>
      <c r="L36" s="367"/>
      <c r="M36" s="256"/>
      <c r="N36" s="257"/>
      <c r="O36" s="262"/>
      <c r="P36" s="244"/>
      <c r="Q36" s="39"/>
      <c r="R36" s="38"/>
      <c r="S36" s="37"/>
      <c r="T36" s="38"/>
      <c r="U36" s="37"/>
      <c r="V36" s="38"/>
      <c r="W36" s="37"/>
      <c r="X36" s="38"/>
      <c r="Y36" s="37"/>
      <c r="Z36" s="40"/>
      <c r="AA36" s="41"/>
      <c r="AB36" s="42"/>
      <c r="AC36" s="296"/>
      <c r="AD36" s="300"/>
      <c r="AE36" s="306" t="str">
        <f t="shared" si="23"/>
        <v/>
      </c>
      <c r="AF36" s="375"/>
      <c r="AG36" s="2" t="s">
        <v>49</v>
      </c>
      <c r="AH36" s="4"/>
    </row>
    <row r="37" spans="1:34" ht="15.95" customHeight="1" x14ac:dyDescent="0.25">
      <c r="A37" s="302" t="str">
        <f t="shared" ref="A37" si="33">IF(C37&lt;&gt;"",dwgnoprefix,"")</f>
        <v/>
      </c>
      <c r="B37" s="304" t="str">
        <f t="shared" ref="B37" si="34">IF(C37&lt;&gt;"", dwgdelimiter,"")</f>
        <v/>
      </c>
      <c r="C37" s="286"/>
      <c r="D37" s="351"/>
      <c r="E37" s="33"/>
      <c r="F37" s="34"/>
      <c r="G37" s="357"/>
      <c r="H37" s="359"/>
      <c r="I37" s="265"/>
      <c r="J37" s="266"/>
      <c r="K37" s="363"/>
      <c r="L37" s="367"/>
      <c r="M37" s="256"/>
      <c r="N37" s="257"/>
      <c r="O37" s="262"/>
      <c r="P37" s="244"/>
      <c r="Q37" s="39"/>
      <c r="R37" s="38"/>
      <c r="S37" s="37"/>
      <c r="T37" s="38"/>
      <c r="U37" s="37"/>
      <c r="V37" s="38"/>
      <c r="W37" s="37"/>
      <c r="X37" s="38"/>
      <c r="Y37" s="37"/>
      <c r="Z37" s="40"/>
      <c r="AA37" s="41"/>
      <c r="AB37" s="42"/>
      <c r="AC37" s="296"/>
      <c r="AD37" s="300"/>
      <c r="AE37" s="306" t="str">
        <f t="shared" ref="AE37" si="35">IF(OR(UPPER(TRIM(B37))="EDE",UPPER(TRIM(A37))="EDE"),UPPER(C37),IF(C37&lt;&gt;"",A37&amp;B37&amp;IF(C37&lt;=9,"000"&amp;TEXT(C37,0),IF(C37&lt;=99,"00"&amp;TEXT(C37,0),IF(C37&lt;999,"0"&amp;TEXT(C37,0),TEXT(C37,0)))),""))</f>
        <v/>
      </c>
      <c r="AF37" s="375"/>
      <c r="AG37" s="2" t="s">
        <v>50</v>
      </c>
      <c r="AH37" s="17"/>
    </row>
    <row r="38" spans="1:34" ht="15.95" customHeight="1" x14ac:dyDescent="0.25">
      <c r="A38" s="302" t="str">
        <f t="shared" si="21"/>
        <v/>
      </c>
      <c r="B38" s="304" t="str">
        <f t="shared" si="22"/>
        <v/>
      </c>
      <c r="C38" s="286"/>
      <c r="D38" s="351"/>
      <c r="E38" s="33"/>
      <c r="F38" s="34"/>
      <c r="G38" s="357"/>
      <c r="H38" s="359"/>
      <c r="I38" s="265"/>
      <c r="J38" s="266"/>
      <c r="K38" s="363"/>
      <c r="L38" s="367"/>
      <c r="M38" s="256"/>
      <c r="N38" s="257"/>
      <c r="O38" s="262"/>
      <c r="P38" s="244"/>
      <c r="Q38" s="39"/>
      <c r="R38" s="38"/>
      <c r="S38" s="37"/>
      <c r="T38" s="38"/>
      <c r="U38" s="37"/>
      <c r="V38" s="38"/>
      <c r="W38" s="37"/>
      <c r="X38" s="38"/>
      <c r="Y38" s="37"/>
      <c r="Z38" s="40"/>
      <c r="AA38" s="41"/>
      <c r="AB38" s="42"/>
      <c r="AC38" s="296"/>
      <c r="AD38" s="300"/>
      <c r="AE38" s="306" t="str">
        <f t="shared" si="23"/>
        <v/>
      </c>
      <c r="AF38" s="375"/>
      <c r="AG38" s="2" t="s">
        <v>50</v>
      </c>
      <c r="AH38" s="17"/>
    </row>
    <row r="39" spans="1:34" ht="15.95" customHeight="1" x14ac:dyDescent="0.25">
      <c r="A39" s="302" t="str">
        <f t="shared" si="21"/>
        <v/>
      </c>
      <c r="B39" s="304" t="str">
        <f t="shared" si="22"/>
        <v/>
      </c>
      <c r="C39" s="286"/>
      <c r="D39" s="351"/>
      <c r="E39" s="33"/>
      <c r="F39" s="34"/>
      <c r="G39" s="357"/>
      <c r="H39" s="359"/>
      <c r="I39" s="265"/>
      <c r="J39" s="266"/>
      <c r="K39" s="363"/>
      <c r="L39" s="367"/>
      <c r="M39" s="256"/>
      <c r="N39" s="257"/>
      <c r="O39" s="262"/>
      <c r="P39" s="244"/>
      <c r="Q39" s="39"/>
      <c r="R39" s="38"/>
      <c r="S39" s="37"/>
      <c r="T39" s="38"/>
      <c r="U39" s="37"/>
      <c r="V39" s="38"/>
      <c r="W39" s="37"/>
      <c r="X39" s="38"/>
      <c r="Y39" s="37"/>
      <c r="Z39" s="40"/>
      <c r="AA39" s="41"/>
      <c r="AB39" s="42"/>
      <c r="AC39" s="296"/>
      <c r="AD39" s="300"/>
      <c r="AE39" s="306" t="str">
        <f t="shared" si="23"/>
        <v/>
      </c>
      <c r="AF39" s="375"/>
      <c r="AG39" s="2" t="s">
        <v>52</v>
      </c>
      <c r="AH39" s="4"/>
    </row>
    <row r="40" spans="1:34" ht="15.95" customHeight="1" x14ac:dyDescent="0.25">
      <c r="A40" s="302" t="str">
        <f t="shared" ref="A40:A45" si="36">IF(C40&lt;&gt;"",dwgnoprefix,"")</f>
        <v/>
      </c>
      <c r="B40" s="310" t="str">
        <f t="shared" ref="B40:B45" si="37">IF(C40&lt;&gt;"", dwgdelimiter,"")</f>
        <v/>
      </c>
      <c r="C40" s="286"/>
      <c r="D40" s="350"/>
      <c r="E40" s="33"/>
      <c r="F40" s="34"/>
      <c r="G40" s="357"/>
      <c r="H40" s="359"/>
      <c r="I40" s="265"/>
      <c r="J40" s="266"/>
      <c r="K40" s="363"/>
      <c r="L40" s="367"/>
      <c r="M40" s="256"/>
      <c r="N40" s="257"/>
      <c r="O40" s="262"/>
      <c r="P40" s="244"/>
      <c r="Q40" s="39"/>
      <c r="R40" s="38"/>
      <c r="S40" s="37"/>
      <c r="T40" s="38"/>
      <c r="U40" s="37"/>
      <c r="V40" s="38"/>
      <c r="W40" s="37"/>
      <c r="X40" s="38"/>
      <c r="Y40" s="37"/>
      <c r="Z40" s="40"/>
      <c r="AA40" s="41"/>
      <c r="AB40" s="42"/>
      <c r="AC40" s="296"/>
      <c r="AD40" s="372"/>
      <c r="AE40" s="306" t="str">
        <f t="shared" ref="AE40:AE45" si="38">IF(OR(UPPER(TRIM(B40))="EDE",UPPER(TRIM(A40))="EDE"),UPPER(C40),IF(C40&lt;&gt;"",A40&amp;B40&amp;IF(C40&lt;=9,"000"&amp;TEXT(C40,0),IF(C40&lt;=99,"00"&amp;TEXT(C40,0),IF(C40&lt;999,"0"&amp;TEXT(C40,0),TEXT(C40,0)))),""))</f>
        <v/>
      </c>
      <c r="AF40" s="375"/>
      <c r="AG40" s="2" t="s">
        <v>52</v>
      </c>
      <c r="AH40" s="4"/>
    </row>
    <row r="41" spans="1:34" ht="15.95" customHeight="1" x14ac:dyDescent="0.25">
      <c r="A41" s="302" t="str">
        <f t="shared" si="36"/>
        <v/>
      </c>
      <c r="B41" s="310" t="str">
        <f t="shared" si="37"/>
        <v/>
      </c>
      <c r="C41" s="286"/>
      <c r="D41" s="350"/>
      <c r="E41" s="33"/>
      <c r="F41" s="34"/>
      <c r="G41" s="357"/>
      <c r="H41" s="359"/>
      <c r="I41" s="265"/>
      <c r="J41" s="266"/>
      <c r="K41" s="363"/>
      <c r="L41" s="367"/>
      <c r="M41" s="256"/>
      <c r="N41" s="257"/>
      <c r="O41" s="262"/>
      <c r="P41" s="244"/>
      <c r="Q41" s="39"/>
      <c r="R41" s="38"/>
      <c r="S41" s="37"/>
      <c r="T41" s="38"/>
      <c r="U41" s="37"/>
      <c r="V41" s="38"/>
      <c r="W41" s="37"/>
      <c r="X41" s="38"/>
      <c r="Y41" s="37"/>
      <c r="Z41" s="40"/>
      <c r="AA41" s="41"/>
      <c r="AB41" s="42"/>
      <c r="AC41" s="296"/>
      <c r="AD41" s="372"/>
      <c r="AE41" s="306" t="str">
        <f t="shared" si="38"/>
        <v/>
      </c>
      <c r="AF41" s="375"/>
      <c r="AG41" s="2" t="s">
        <v>52</v>
      </c>
      <c r="AH41" s="4"/>
    </row>
    <row r="42" spans="1:34" ht="15.95" customHeight="1" x14ac:dyDescent="0.25">
      <c r="A42" s="302" t="str">
        <f t="shared" si="36"/>
        <v/>
      </c>
      <c r="B42" s="310" t="str">
        <f t="shared" si="37"/>
        <v/>
      </c>
      <c r="C42" s="286"/>
      <c r="D42" s="350"/>
      <c r="E42" s="33"/>
      <c r="F42" s="34"/>
      <c r="G42" s="357"/>
      <c r="H42" s="359"/>
      <c r="I42" s="265"/>
      <c r="J42" s="266"/>
      <c r="K42" s="363"/>
      <c r="L42" s="367"/>
      <c r="M42" s="256"/>
      <c r="N42" s="257"/>
      <c r="O42" s="262"/>
      <c r="P42" s="244"/>
      <c r="Q42" s="39"/>
      <c r="R42" s="38"/>
      <c r="S42" s="37"/>
      <c r="T42" s="38"/>
      <c r="U42" s="37"/>
      <c r="V42" s="38"/>
      <c r="W42" s="37"/>
      <c r="X42" s="38"/>
      <c r="Y42" s="37"/>
      <c r="Z42" s="40"/>
      <c r="AA42" s="41"/>
      <c r="AB42" s="42"/>
      <c r="AC42" s="296"/>
      <c r="AD42" s="372"/>
      <c r="AE42" s="306" t="str">
        <f t="shared" si="38"/>
        <v/>
      </c>
      <c r="AF42" s="375"/>
      <c r="AG42" s="2" t="s">
        <v>52</v>
      </c>
      <c r="AH42" s="4"/>
    </row>
    <row r="43" spans="1:34" ht="15.95" customHeight="1" x14ac:dyDescent="0.25">
      <c r="A43" s="302" t="str">
        <f t="shared" si="36"/>
        <v/>
      </c>
      <c r="B43" s="310" t="str">
        <f t="shared" si="37"/>
        <v/>
      </c>
      <c r="C43" s="286"/>
      <c r="D43" s="350"/>
      <c r="E43" s="33"/>
      <c r="F43" s="34"/>
      <c r="G43" s="357"/>
      <c r="H43" s="359"/>
      <c r="I43" s="265"/>
      <c r="J43" s="266"/>
      <c r="K43" s="363"/>
      <c r="L43" s="367"/>
      <c r="M43" s="256"/>
      <c r="N43" s="257"/>
      <c r="O43" s="262"/>
      <c r="P43" s="244"/>
      <c r="Q43" s="39"/>
      <c r="R43" s="38"/>
      <c r="S43" s="37"/>
      <c r="T43" s="38"/>
      <c r="U43" s="37"/>
      <c r="V43" s="38"/>
      <c r="W43" s="37"/>
      <c r="X43" s="38"/>
      <c r="Y43" s="37"/>
      <c r="Z43" s="40"/>
      <c r="AA43" s="41"/>
      <c r="AB43" s="42"/>
      <c r="AC43" s="296"/>
      <c r="AD43" s="372"/>
      <c r="AE43" s="306" t="str">
        <f t="shared" si="38"/>
        <v/>
      </c>
      <c r="AF43" s="375"/>
      <c r="AG43" s="2" t="s">
        <v>52</v>
      </c>
      <c r="AH43" s="4"/>
    </row>
    <row r="44" spans="1:34" ht="15.95" customHeight="1" x14ac:dyDescent="0.25">
      <c r="A44" s="302" t="str">
        <f t="shared" si="36"/>
        <v/>
      </c>
      <c r="B44" s="310" t="str">
        <f t="shared" si="37"/>
        <v/>
      </c>
      <c r="C44" s="286"/>
      <c r="D44" s="350"/>
      <c r="E44" s="33"/>
      <c r="F44" s="34"/>
      <c r="G44" s="357"/>
      <c r="H44" s="359"/>
      <c r="I44" s="265"/>
      <c r="J44" s="266"/>
      <c r="K44" s="363"/>
      <c r="L44" s="367"/>
      <c r="M44" s="256"/>
      <c r="N44" s="257"/>
      <c r="O44" s="262"/>
      <c r="P44" s="244"/>
      <c r="Q44" s="39"/>
      <c r="R44" s="38"/>
      <c r="S44" s="37"/>
      <c r="T44" s="38"/>
      <c r="U44" s="37"/>
      <c r="V44" s="38"/>
      <c r="W44" s="37"/>
      <c r="X44" s="38"/>
      <c r="Y44" s="37"/>
      <c r="Z44" s="40"/>
      <c r="AA44" s="41"/>
      <c r="AB44" s="42"/>
      <c r="AC44" s="296"/>
      <c r="AD44" s="372"/>
      <c r="AE44" s="306" t="str">
        <f t="shared" si="38"/>
        <v/>
      </c>
      <c r="AF44" s="375"/>
      <c r="AG44" s="2" t="s">
        <v>52</v>
      </c>
      <c r="AH44" s="4"/>
    </row>
    <row r="45" spans="1:34" ht="15.95" customHeight="1" x14ac:dyDescent="0.25">
      <c r="A45" s="302" t="str">
        <f t="shared" si="36"/>
        <v/>
      </c>
      <c r="B45" s="310" t="str">
        <f t="shared" si="37"/>
        <v/>
      </c>
      <c r="C45" s="286"/>
      <c r="D45" s="350"/>
      <c r="E45" s="33"/>
      <c r="F45" s="34"/>
      <c r="G45" s="357"/>
      <c r="H45" s="359"/>
      <c r="I45" s="265"/>
      <c r="J45" s="266"/>
      <c r="K45" s="363"/>
      <c r="L45" s="367"/>
      <c r="M45" s="256"/>
      <c r="N45" s="257"/>
      <c r="O45" s="262"/>
      <c r="P45" s="244"/>
      <c r="Q45" s="39"/>
      <c r="R45" s="38"/>
      <c r="S45" s="37"/>
      <c r="T45" s="38"/>
      <c r="U45" s="37"/>
      <c r="V45" s="38"/>
      <c r="W45" s="37"/>
      <c r="X45" s="38"/>
      <c r="Y45" s="37"/>
      <c r="Z45" s="40"/>
      <c r="AA45" s="41"/>
      <c r="AB45" s="42"/>
      <c r="AC45" s="296"/>
      <c r="AD45" s="372"/>
      <c r="AE45" s="306" t="str">
        <f t="shared" si="38"/>
        <v/>
      </c>
      <c r="AF45" s="375"/>
      <c r="AG45" s="2" t="s">
        <v>52</v>
      </c>
      <c r="AH45" s="4"/>
    </row>
    <row r="46" spans="1:34" ht="15.95" customHeight="1" x14ac:dyDescent="0.25">
      <c r="A46" s="302" t="str">
        <f t="shared" si="21"/>
        <v/>
      </c>
      <c r="B46" s="310" t="str">
        <f t="shared" si="22"/>
        <v/>
      </c>
      <c r="C46" s="286"/>
      <c r="D46" s="350"/>
      <c r="E46" s="33"/>
      <c r="F46" s="34"/>
      <c r="G46" s="357"/>
      <c r="H46" s="359"/>
      <c r="I46" s="265"/>
      <c r="J46" s="266"/>
      <c r="K46" s="363"/>
      <c r="L46" s="367"/>
      <c r="M46" s="256"/>
      <c r="N46" s="257"/>
      <c r="O46" s="262"/>
      <c r="P46" s="244"/>
      <c r="Q46" s="39"/>
      <c r="R46" s="38"/>
      <c r="S46" s="37"/>
      <c r="T46" s="38"/>
      <c r="U46" s="37"/>
      <c r="V46" s="38"/>
      <c r="W46" s="37"/>
      <c r="X46" s="38"/>
      <c r="Y46" s="37"/>
      <c r="Z46" s="40"/>
      <c r="AA46" s="41"/>
      <c r="AB46" s="42"/>
      <c r="AC46" s="296"/>
      <c r="AD46" s="372"/>
      <c r="AE46" s="306" t="str">
        <f t="shared" si="23"/>
        <v/>
      </c>
      <c r="AF46" s="375"/>
      <c r="AG46" s="2" t="s">
        <v>52</v>
      </c>
      <c r="AH46" s="4"/>
    </row>
    <row r="47" spans="1:34" ht="15.95" customHeight="1" x14ac:dyDescent="0.25">
      <c r="A47" s="302" t="str">
        <f t="shared" si="21"/>
        <v/>
      </c>
      <c r="B47" s="310" t="str">
        <f t="shared" si="22"/>
        <v/>
      </c>
      <c r="C47" s="286"/>
      <c r="D47" s="351"/>
      <c r="E47" s="33"/>
      <c r="F47" s="34"/>
      <c r="G47" s="357"/>
      <c r="H47" s="359"/>
      <c r="I47" s="265"/>
      <c r="J47" s="266"/>
      <c r="K47" s="363"/>
      <c r="L47" s="367"/>
      <c r="M47" s="256"/>
      <c r="N47" s="257"/>
      <c r="O47" s="262"/>
      <c r="P47" s="244"/>
      <c r="Q47" s="39"/>
      <c r="R47" s="38"/>
      <c r="S47" s="37"/>
      <c r="T47" s="38"/>
      <c r="U47" s="37"/>
      <c r="V47" s="38"/>
      <c r="W47" s="37"/>
      <c r="X47" s="38"/>
      <c r="Y47" s="37"/>
      <c r="Z47" s="40"/>
      <c r="AA47" s="41"/>
      <c r="AB47" s="42"/>
      <c r="AC47" s="296"/>
      <c r="AD47" s="300"/>
      <c r="AE47" s="306" t="str">
        <f t="shared" si="23"/>
        <v/>
      </c>
      <c r="AF47" s="375"/>
      <c r="AG47" s="2" t="s">
        <v>52</v>
      </c>
      <c r="AH47" s="4"/>
    </row>
    <row r="48" spans="1:34" ht="15.95" customHeight="1" x14ac:dyDescent="0.25">
      <c r="A48" s="302" t="str">
        <f t="shared" si="21"/>
        <v/>
      </c>
      <c r="B48" s="310" t="str">
        <f t="shared" si="22"/>
        <v/>
      </c>
      <c r="C48" s="286"/>
      <c r="D48" s="351"/>
      <c r="E48" s="33"/>
      <c r="F48" s="34"/>
      <c r="G48" s="357"/>
      <c r="H48" s="359"/>
      <c r="I48" s="265"/>
      <c r="J48" s="266"/>
      <c r="K48" s="363"/>
      <c r="L48" s="367"/>
      <c r="M48" s="256"/>
      <c r="N48" s="257"/>
      <c r="O48" s="262"/>
      <c r="P48" s="244"/>
      <c r="Q48" s="39"/>
      <c r="R48" s="38"/>
      <c r="S48" s="37"/>
      <c r="T48" s="38"/>
      <c r="U48" s="37"/>
      <c r="V48" s="38"/>
      <c r="W48" s="37"/>
      <c r="X48" s="38"/>
      <c r="Y48" s="37"/>
      <c r="Z48" s="40"/>
      <c r="AA48" s="41"/>
      <c r="AB48" s="42"/>
      <c r="AC48" s="296"/>
      <c r="AD48" s="300"/>
      <c r="AE48" s="306" t="str">
        <f t="shared" si="23"/>
        <v/>
      </c>
      <c r="AF48" s="375"/>
      <c r="AG48" s="2" t="s">
        <v>52</v>
      </c>
      <c r="AH48" s="4"/>
    </row>
    <row r="49" spans="1:34" ht="15.95" customHeight="1" x14ac:dyDescent="0.25">
      <c r="A49" s="302" t="str">
        <f t="shared" si="21"/>
        <v/>
      </c>
      <c r="B49" s="310" t="str">
        <f t="shared" si="22"/>
        <v/>
      </c>
      <c r="C49" s="286"/>
      <c r="D49" s="351"/>
      <c r="E49" s="33"/>
      <c r="F49" s="34"/>
      <c r="G49" s="357"/>
      <c r="H49" s="359"/>
      <c r="I49" s="265"/>
      <c r="J49" s="266"/>
      <c r="K49" s="363"/>
      <c r="L49" s="367"/>
      <c r="M49" s="256"/>
      <c r="N49" s="257"/>
      <c r="O49" s="262"/>
      <c r="P49" s="244"/>
      <c r="Q49" s="39"/>
      <c r="R49" s="38"/>
      <c r="S49" s="37"/>
      <c r="T49" s="38"/>
      <c r="U49" s="37"/>
      <c r="V49" s="38"/>
      <c r="W49" s="37"/>
      <c r="X49" s="38"/>
      <c r="Y49" s="37"/>
      <c r="Z49" s="40"/>
      <c r="AA49" s="41"/>
      <c r="AB49" s="42"/>
      <c r="AC49" s="296"/>
      <c r="AD49" s="300"/>
      <c r="AE49" s="306" t="str">
        <f t="shared" si="23"/>
        <v/>
      </c>
      <c r="AF49" s="375"/>
      <c r="AG49" s="2" t="s">
        <v>52</v>
      </c>
      <c r="AH49" s="4"/>
    </row>
    <row r="50" spans="1:34" ht="15.95" customHeight="1" x14ac:dyDescent="0.25">
      <c r="A50" s="302" t="str">
        <f t="shared" si="21"/>
        <v/>
      </c>
      <c r="B50" s="310" t="str">
        <f t="shared" si="22"/>
        <v/>
      </c>
      <c r="C50" s="286"/>
      <c r="D50" s="351"/>
      <c r="E50" s="33"/>
      <c r="F50" s="34"/>
      <c r="G50" s="357"/>
      <c r="H50" s="359"/>
      <c r="I50" s="265"/>
      <c r="J50" s="266"/>
      <c r="K50" s="363"/>
      <c r="L50" s="367"/>
      <c r="M50" s="256"/>
      <c r="N50" s="257"/>
      <c r="O50" s="262"/>
      <c r="P50" s="244"/>
      <c r="Q50" s="39"/>
      <c r="R50" s="38"/>
      <c r="S50" s="37"/>
      <c r="T50" s="38"/>
      <c r="U50" s="37"/>
      <c r="V50" s="38"/>
      <c r="W50" s="37"/>
      <c r="X50" s="38"/>
      <c r="Y50" s="37"/>
      <c r="Z50" s="40"/>
      <c r="AA50" s="41"/>
      <c r="AB50" s="42"/>
      <c r="AC50" s="296"/>
      <c r="AD50" s="300"/>
      <c r="AE50" s="306" t="str">
        <f t="shared" si="23"/>
        <v/>
      </c>
      <c r="AF50" s="375"/>
      <c r="AG50" s="2" t="s">
        <v>2</v>
      </c>
      <c r="AH50" s="3"/>
    </row>
    <row r="51" spans="1:34" ht="15.95" customHeight="1" x14ac:dyDescent="0.25">
      <c r="A51" s="302" t="str">
        <f t="shared" si="21"/>
        <v/>
      </c>
      <c r="B51" s="310" t="str">
        <f t="shared" si="22"/>
        <v/>
      </c>
      <c r="C51" s="286"/>
      <c r="D51" s="351"/>
      <c r="E51" s="33"/>
      <c r="F51" s="34"/>
      <c r="G51" s="357"/>
      <c r="H51" s="359"/>
      <c r="I51" s="265"/>
      <c r="J51" s="266"/>
      <c r="K51" s="363"/>
      <c r="L51" s="367"/>
      <c r="M51" s="256"/>
      <c r="N51" s="257"/>
      <c r="O51" s="262"/>
      <c r="P51" s="244"/>
      <c r="Q51" s="39"/>
      <c r="R51" s="38"/>
      <c r="S51" s="37"/>
      <c r="T51" s="38"/>
      <c r="U51" s="37"/>
      <c r="V51" s="38"/>
      <c r="W51" s="37"/>
      <c r="X51" s="38"/>
      <c r="Y51" s="37"/>
      <c r="Z51" s="40"/>
      <c r="AA51" s="41"/>
      <c r="AB51" s="42"/>
      <c r="AC51" s="296"/>
      <c r="AD51" s="300"/>
      <c r="AE51" s="306" t="str">
        <f t="shared" si="23"/>
        <v/>
      </c>
      <c r="AF51" s="375"/>
      <c r="AG51" s="2" t="s">
        <v>2</v>
      </c>
      <c r="AH51" s="3"/>
    </row>
    <row r="52" spans="1:34" ht="15.95" customHeight="1" x14ac:dyDescent="0.25">
      <c r="A52" s="302" t="str">
        <f t="shared" si="21"/>
        <v/>
      </c>
      <c r="B52" s="310" t="str">
        <f t="shared" si="22"/>
        <v/>
      </c>
      <c r="C52" s="286"/>
      <c r="D52" s="351"/>
      <c r="E52" s="33"/>
      <c r="F52" s="34"/>
      <c r="G52" s="357"/>
      <c r="H52" s="359"/>
      <c r="I52" s="265"/>
      <c r="J52" s="266"/>
      <c r="K52" s="363"/>
      <c r="L52" s="367"/>
      <c r="M52" s="256"/>
      <c r="N52" s="257"/>
      <c r="O52" s="262"/>
      <c r="P52" s="244"/>
      <c r="Q52" s="39"/>
      <c r="R52" s="38"/>
      <c r="S52" s="37"/>
      <c r="T52" s="38"/>
      <c r="U52" s="37"/>
      <c r="V52" s="38"/>
      <c r="W52" s="37"/>
      <c r="X52" s="38"/>
      <c r="Y52" s="37"/>
      <c r="Z52" s="40"/>
      <c r="AA52" s="41"/>
      <c r="AB52" s="42"/>
      <c r="AC52" s="296"/>
      <c r="AD52" s="300"/>
      <c r="AE52" s="306" t="str">
        <f t="shared" si="23"/>
        <v/>
      </c>
      <c r="AF52" s="375"/>
      <c r="AG52" s="2" t="s">
        <v>52</v>
      </c>
      <c r="AH52" s="4"/>
    </row>
    <row r="53" spans="1:34" ht="15.95" customHeight="1" x14ac:dyDescent="0.25">
      <c r="A53" s="302" t="str">
        <f t="shared" si="21"/>
        <v/>
      </c>
      <c r="B53" s="310" t="str">
        <f t="shared" si="22"/>
        <v/>
      </c>
      <c r="C53" s="286"/>
      <c r="D53" s="351"/>
      <c r="E53" s="33"/>
      <c r="F53" s="34"/>
      <c r="G53" s="357"/>
      <c r="H53" s="359"/>
      <c r="I53" s="265"/>
      <c r="J53" s="266"/>
      <c r="K53" s="363"/>
      <c r="L53" s="367"/>
      <c r="M53" s="256"/>
      <c r="N53" s="257"/>
      <c r="O53" s="262"/>
      <c r="P53" s="244"/>
      <c r="Q53" s="39"/>
      <c r="R53" s="38"/>
      <c r="S53" s="37"/>
      <c r="T53" s="38"/>
      <c r="U53" s="37"/>
      <c r="V53" s="38"/>
      <c r="W53" s="37"/>
      <c r="X53" s="38"/>
      <c r="Y53" s="37"/>
      <c r="Z53" s="40"/>
      <c r="AA53" s="41"/>
      <c r="AB53" s="42"/>
      <c r="AC53" s="296"/>
      <c r="AD53" s="300"/>
      <c r="AE53" s="306" t="str">
        <f t="shared" si="23"/>
        <v/>
      </c>
      <c r="AF53" s="375"/>
      <c r="AG53" s="2" t="s">
        <v>3</v>
      </c>
      <c r="AH53" s="19"/>
    </row>
    <row r="54" spans="1:34" ht="15.95" customHeight="1" x14ac:dyDescent="0.25">
      <c r="A54" s="302" t="str">
        <f t="shared" si="21"/>
        <v/>
      </c>
      <c r="B54" s="310" t="str">
        <f t="shared" si="22"/>
        <v/>
      </c>
      <c r="C54" s="286"/>
      <c r="D54" s="350"/>
      <c r="E54" s="33"/>
      <c r="F54" s="34"/>
      <c r="G54" s="357"/>
      <c r="H54" s="359"/>
      <c r="I54" s="271"/>
      <c r="J54" s="272"/>
      <c r="K54" s="364"/>
      <c r="L54" s="368"/>
      <c r="M54" s="258"/>
      <c r="N54" s="259"/>
      <c r="O54" s="263"/>
      <c r="P54" s="245"/>
      <c r="Q54" s="225"/>
      <c r="R54" s="224"/>
      <c r="S54" s="223"/>
      <c r="T54" s="224"/>
      <c r="U54" s="223"/>
      <c r="V54" s="224"/>
      <c r="W54" s="223"/>
      <c r="X54" s="224"/>
      <c r="Y54" s="223"/>
      <c r="Z54" s="226"/>
      <c r="AA54" s="227"/>
      <c r="AB54" s="228"/>
      <c r="AC54" s="296"/>
      <c r="AD54" s="372"/>
      <c r="AE54" s="306" t="str">
        <f t="shared" si="23"/>
        <v/>
      </c>
      <c r="AF54" s="375"/>
      <c r="AG54" s="2" t="s">
        <v>53</v>
      </c>
      <c r="AH54" s="19"/>
    </row>
    <row r="55" spans="1:34" ht="15.95" customHeight="1" x14ac:dyDescent="0.25">
      <c r="A55" s="302" t="str">
        <f t="shared" si="21"/>
        <v/>
      </c>
      <c r="B55" s="310" t="str">
        <f t="shared" si="22"/>
        <v/>
      </c>
      <c r="C55" s="286"/>
      <c r="D55" s="351"/>
      <c r="E55" s="33"/>
      <c r="F55" s="34"/>
      <c r="G55" s="357"/>
      <c r="H55" s="359"/>
      <c r="I55" s="265"/>
      <c r="J55" s="266"/>
      <c r="K55" s="363"/>
      <c r="L55" s="367"/>
      <c r="M55" s="256"/>
      <c r="N55" s="257"/>
      <c r="O55" s="262"/>
      <c r="P55" s="244"/>
      <c r="Q55" s="39"/>
      <c r="R55" s="38"/>
      <c r="S55" s="37"/>
      <c r="T55" s="38"/>
      <c r="U55" s="37"/>
      <c r="V55" s="38"/>
      <c r="W55" s="37"/>
      <c r="X55" s="38"/>
      <c r="Y55" s="37"/>
      <c r="Z55" s="40"/>
      <c r="AA55" s="41"/>
      <c r="AB55" s="42"/>
      <c r="AC55" s="296"/>
      <c r="AD55" s="300"/>
      <c r="AE55" s="306" t="str">
        <f t="shared" si="23"/>
        <v/>
      </c>
      <c r="AF55" s="375"/>
      <c r="AG55" s="2" t="s">
        <v>54</v>
      </c>
      <c r="AH55" s="18"/>
    </row>
    <row r="56" spans="1:34" ht="15.95" customHeight="1" x14ac:dyDescent="0.25">
      <c r="A56" s="302" t="str">
        <f t="shared" si="21"/>
        <v/>
      </c>
      <c r="B56" s="310" t="str">
        <f t="shared" si="22"/>
        <v/>
      </c>
      <c r="C56" s="286"/>
      <c r="D56" s="351"/>
      <c r="E56" s="33"/>
      <c r="F56" s="34"/>
      <c r="G56" s="357"/>
      <c r="H56" s="359"/>
      <c r="I56" s="265"/>
      <c r="J56" s="266"/>
      <c r="K56" s="363"/>
      <c r="L56" s="367"/>
      <c r="M56" s="256"/>
      <c r="N56" s="257"/>
      <c r="O56" s="262"/>
      <c r="P56" s="244"/>
      <c r="Q56" s="39"/>
      <c r="R56" s="38"/>
      <c r="S56" s="37"/>
      <c r="T56" s="38"/>
      <c r="U56" s="37"/>
      <c r="V56" s="38"/>
      <c r="W56" s="37"/>
      <c r="X56" s="38"/>
      <c r="Y56" s="37"/>
      <c r="Z56" s="40"/>
      <c r="AA56" s="41"/>
      <c r="AB56" s="42"/>
      <c r="AC56" s="296"/>
      <c r="AD56" s="300"/>
      <c r="AE56" s="306" t="str">
        <f t="shared" si="23"/>
        <v/>
      </c>
      <c r="AF56" s="375"/>
      <c r="AG56" s="2" t="s">
        <v>56</v>
      </c>
      <c r="AH56" s="19"/>
    </row>
    <row r="57" spans="1:34" ht="15.95" customHeight="1" x14ac:dyDescent="0.25">
      <c r="A57" s="302" t="str">
        <f t="shared" si="21"/>
        <v/>
      </c>
      <c r="B57" s="310" t="str">
        <f t="shared" si="22"/>
        <v/>
      </c>
      <c r="C57" s="286"/>
      <c r="D57" s="351"/>
      <c r="E57" s="33"/>
      <c r="F57" s="34"/>
      <c r="G57" s="357"/>
      <c r="H57" s="359"/>
      <c r="I57" s="265"/>
      <c r="J57" s="266"/>
      <c r="K57" s="363"/>
      <c r="L57" s="367"/>
      <c r="M57" s="256"/>
      <c r="N57" s="257"/>
      <c r="O57" s="262"/>
      <c r="P57" s="244"/>
      <c r="Q57" s="39"/>
      <c r="R57" s="38"/>
      <c r="S57" s="37"/>
      <c r="T57" s="38"/>
      <c r="U57" s="37"/>
      <c r="V57" s="38"/>
      <c r="W57" s="37"/>
      <c r="X57" s="38"/>
      <c r="Y57" s="37"/>
      <c r="Z57" s="40"/>
      <c r="AA57" s="41"/>
      <c r="AB57" s="42"/>
      <c r="AC57" s="296"/>
      <c r="AD57" s="300"/>
      <c r="AE57" s="306" t="str">
        <f t="shared" si="23"/>
        <v/>
      </c>
      <c r="AF57" s="375"/>
      <c r="AG57" s="2" t="s">
        <v>57</v>
      </c>
      <c r="AH57" s="20"/>
    </row>
    <row r="58" spans="1:34" ht="15.95" customHeight="1" x14ac:dyDescent="0.25">
      <c r="A58" s="302" t="str">
        <f t="shared" si="21"/>
        <v/>
      </c>
      <c r="B58" s="310" t="str">
        <f t="shared" si="22"/>
        <v/>
      </c>
      <c r="C58" s="286"/>
      <c r="D58" s="351"/>
      <c r="E58" s="33"/>
      <c r="F58" s="34"/>
      <c r="G58" s="357"/>
      <c r="H58" s="359"/>
      <c r="I58" s="265"/>
      <c r="J58" s="266"/>
      <c r="K58" s="363"/>
      <c r="L58" s="367"/>
      <c r="M58" s="256"/>
      <c r="N58" s="257"/>
      <c r="O58" s="262"/>
      <c r="P58" s="244"/>
      <c r="Q58" s="39"/>
      <c r="R58" s="38"/>
      <c r="S58" s="37"/>
      <c r="T58" s="38"/>
      <c r="U58" s="37"/>
      <c r="V58" s="38"/>
      <c r="W58" s="37"/>
      <c r="X58" s="38"/>
      <c r="Y58" s="37"/>
      <c r="Z58" s="40"/>
      <c r="AA58" s="41"/>
      <c r="AB58" s="42"/>
      <c r="AC58" s="296"/>
      <c r="AD58" s="300"/>
      <c r="AE58" s="306" t="str">
        <f t="shared" si="23"/>
        <v/>
      </c>
      <c r="AF58" s="375"/>
    </row>
    <row r="59" spans="1:34" ht="15.95" customHeight="1" x14ac:dyDescent="0.25">
      <c r="A59" s="302" t="str">
        <f t="shared" ref="A59:A68" si="39">IF(C59&lt;&gt;"",dwgnoprefix,"")</f>
        <v/>
      </c>
      <c r="B59" s="310" t="str">
        <f t="shared" ref="B59:B67" si="40">IF(C59&lt;&gt;"", dwgdelimiter,"")</f>
        <v/>
      </c>
      <c r="C59" s="286"/>
      <c r="D59" s="351"/>
      <c r="E59" s="33"/>
      <c r="F59" s="34"/>
      <c r="G59" s="357"/>
      <c r="H59" s="359"/>
      <c r="I59" s="265"/>
      <c r="J59" s="266"/>
      <c r="K59" s="363"/>
      <c r="L59" s="367"/>
      <c r="M59" s="256"/>
      <c r="N59" s="257"/>
      <c r="O59" s="262"/>
      <c r="P59" s="244"/>
      <c r="Q59" s="39"/>
      <c r="R59" s="38"/>
      <c r="S59" s="37"/>
      <c r="T59" s="38"/>
      <c r="U59" s="37"/>
      <c r="V59" s="38"/>
      <c r="W59" s="37"/>
      <c r="X59" s="38"/>
      <c r="Y59" s="37"/>
      <c r="Z59" s="40"/>
      <c r="AA59" s="41"/>
      <c r="AB59" s="42"/>
      <c r="AC59" s="296"/>
      <c r="AD59" s="300"/>
      <c r="AE59" s="306" t="str">
        <f t="shared" ref="AE59:AE103" si="41">IF(OR(UPPER(TRIM(B59))="EDE",UPPER(TRIM(A59))="EDE"),UPPER(C59),IF(C59&lt;&gt;"",A59&amp;B59&amp;IF(C59&lt;=9,"000"&amp;TEXT(C59,0),IF(C59&lt;=99,"00"&amp;TEXT(C59,0),IF(C59&lt;999,"0"&amp;TEXT(C59,0),TEXT(C59,0)))),""))</f>
        <v/>
      </c>
      <c r="AF59" s="375"/>
    </row>
    <row r="60" spans="1:34" ht="15.95" customHeight="1" x14ac:dyDescent="0.25">
      <c r="A60" s="302" t="str">
        <f t="shared" si="39"/>
        <v/>
      </c>
      <c r="B60" s="310" t="str">
        <f t="shared" si="40"/>
        <v/>
      </c>
      <c r="C60" s="286"/>
      <c r="D60" s="351"/>
      <c r="E60" s="33"/>
      <c r="F60" s="34"/>
      <c r="G60" s="357"/>
      <c r="H60" s="359"/>
      <c r="I60" s="265"/>
      <c r="J60" s="266"/>
      <c r="K60" s="363"/>
      <c r="L60" s="367"/>
      <c r="M60" s="256"/>
      <c r="N60" s="257"/>
      <c r="O60" s="262"/>
      <c r="P60" s="244"/>
      <c r="Q60" s="39"/>
      <c r="R60" s="38"/>
      <c r="S60" s="37"/>
      <c r="T60" s="38"/>
      <c r="U60" s="37"/>
      <c r="V60" s="38"/>
      <c r="W60" s="37"/>
      <c r="X60" s="38"/>
      <c r="Y60" s="37"/>
      <c r="Z60" s="40"/>
      <c r="AA60" s="41"/>
      <c r="AB60" s="42"/>
      <c r="AC60" s="296"/>
      <c r="AD60" s="300"/>
      <c r="AE60" s="306" t="str">
        <f t="shared" si="41"/>
        <v/>
      </c>
      <c r="AF60" s="375"/>
      <c r="AG60" s="2">
        <v>2</v>
      </c>
    </row>
    <row r="61" spans="1:34" ht="15.95" customHeight="1" x14ac:dyDescent="0.25">
      <c r="A61" s="302" t="str">
        <f t="shared" si="39"/>
        <v/>
      </c>
      <c r="B61" s="310" t="str">
        <f t="shared" si="40"/>
        <v/>
      </c>
      <c r="C61" s="286"/>
      <c r="D61" s="351"/>
      <c r="E61" s="33"/>
      <c r="F61" s="34"/>
      <c r="G61" s="357"/>
      <c r="H61" s="359"/>
      <c r="I61" s="265"/>
      <c r="J61" s="266"/>
      <c r="K61" s="363"/>
      <c r="L61" s="367"/>
      <c r="M61" s="256"/>
      <c r="N61" s="257"/>
      <c r="O61" s="262"/>
      <c r="P61" s="244"/>
      <c r="Q61" s="39"/>
      <c r="R61" s="38"/>
      <c r="S61" s="37"/>
      <c r="T61" s="38"/>
      <c r="U61" s="37"/>
      <c r="V61" s="38"/>
      <c r="W61" s="37"/>
      <c r="X61" s="38"/>
      <c r="Y61" s="37"/>
      <c r="Z61" s="40"/>
      <c r="AA61" s="41"/>
      <c r="AB61" s="42"/>
      <c r="AC61" s="296"/>
      <c r="AD61" s="300"/>
      <c r="AE61" s="306" t="str">
        <f t="shared" si="41"/>
        <v/>
      </c>
      <c r="AF61" s="375"/>
    </row>
    <row r="62" spans="1:34" ht="15.95" customHeight="1" x14ac:dyDescent="0.25">
      <c r="A62" s="302" t="str">
        <f t="shared" si="39"/>
        <v/>
      </c>
      <c r="B62" s="310" t="str">
        <f t="shared" si="40"/>
        <v/>
      </c>
      <c r="C62" s="286"/>
      <c r="D62" s="351"/>
      <c r="E62" s="33"/>
      <c r="F62" s="43"/>
      <c r="G62" s="357"/>
      <c r="H62" s="361"/>
      <c r="I62" s="265"/>
      <c r="J62" s="266"/>
      <c r="K62" s="363"/>
      <c r="L62" s="367"/>
      <c r="M62" s="256"/>
      <c r="N62" s="257"/>
      <c r="O62" s="262"/>
      <c r="P62" s="244"/>
      <c r="Q62" s="39"/>
      <c r="R62" s="38"/>
      <c r="S62" s="37"/>
      <c r="T62" s="38"/>
      <c r="U62" s="37"/>
      <c r="V62" s="38"/>
      <c r="W62" s="37"/>
      <c r="X62" s="38"/>
      <c r="Y62" s="37"/>
      <c r="Z62" s="40"/>
      <c r="AA62" s="41"/>
      <c r="AB62" s="42"/>
      <c r="AC62" s="296"/>
      <c r="AD62" s="300"/>
      <c r="AE62" s="306" t="str">
        <f t="shared" si="41"/>
        <v/>
      </c>
      <c r="AF62" s="375"/>
    </row>
    <row r="63" spans="1:34" ht="15.95" customHeight="1" x14ac:dyDescent="0.25">
      <c r="A63" s="302" t="str">
        <f t="shared" si="39"/>
        <v/>
      </c>
      <c r="B63" s="310" t="str">
        <f t="shared" si="40"/>
        <v/>
      </c>
      <c r="C63" s="286"/>
      <c r="D63" s="351"/>
      <c r="E63" s="33"/>
      <c r="F63" s="34"/>
      <c r="G63" s="357"/>
      <c r="H63" s="359"/>
      <c r="I63" s="265"/>
      <c r="J63" s="266"/>
      <c r="K63" s="363"/>
      <c r="L63" s="367"/>
      <c r="M63" s="256"/>
      <c r="N63" s="257"/>
      <c r="O63" s="262"/>
      <c r="P63" s="244"/>
      <c r="Q63" s="39"/>
      <c r="R63" s="38"/>
      <c r="S63" s="37"/>
      <c r="T63" s="38"/>
      <c r="U63" s="37"/>
      <c r="V63" s="38"/>
      <c r="W63" s="37"/>
      <c r="X63" s="38"/>
      <c r="Y63" s="37"/>
      <c r="Z63" s="40"/>
      <c r="AA63" s="41"/>
      <c r="AB63" s="42"/>
      <c r="AC63" s="296"/>
      <c r="AD63" s="300"/>
      <c r="AE63" s="306" t="str">
        <f t="shared" si="41"/>
        <v/>
      </c>
      <c r="AF63" s="375"/>
    </row>
    <row r="64" spans="1:34" ht="15.95" customHeight="1" x14ac:dyDescent="0.25">
      <c r="A64" s="302" t="str">
        <f t="shared" si="39"/>
        <v/>
      </c>
      <c r="B64" s="310" t="str">
        <f t="shared" si="40"/>
        <v/>
      </c>
      <c r="C64" s="286"/>
      <c r="D64" s="351"/>
      <c r="E64" s="33"/>
      <c r="F64" s="34"/>
      <c r="G64" s="357"/>
      <c r="H64" s="359"/>
      <c r="I64" s="265"/>
      <c r="J64" s="266"/>
      <c r="K64" s="363"/>
      <c r="L64" s="367"/>
      <c r="M64" s="256"/>
      <c r="N64" s="257"/>
      <c r="O64" s="262"/>
      <c r="P64" s="244"/>
      <c r="Q64" s="39"/>
      <c r="R64" s="38"/>
      <c r="S64" s="37"/>
      <c r="T64" s="38"/>
      <c r="U64" s="37"/>
      <c r="V64" s="38"/>
      <c r="W64" s="37"/>
      <c r="X64" s="38"/>
      <c r="Y64" s="37"/>
      <c r="Z64" s="40"/>
      <c r="AA64" s="41"/>
      <c r="AB64" s="42"/>
      <c r="AC64" s="296"/>
      <c r="AD64" s="300"/>
      <c r="AE64" s="306" t="str">
        <f t="shared" si="41"/>
        <v/>
      </c>
      <c r="AF64" s="375"/>
    </row>
    <row r="65" spans="1:32" ht="15.95" customHeight="1" x14ac:dyDescent="0.25">
      <c r="A65" s="302" t="str">
        <f t="shared" si="39"/>
        <v/>
      </c>
      <c r="B65" s="310" t="str">
        <f t="shared" si="40"/>
        <v/>
      </c>
      <c r="C65" s="286"/>
      <c r="D65" s="351"/>
      <c r="E65" s="33"/>
      <c r="F65" s="34"/>
      <c r="G65" s="357"/>
      <c r="H65" s="359"/>
      <c r="I65" s="265"/>
      <c r="J65" s="266"/>
      <c r="K65" s="363"/>
      <c r="L65" s="367"/>
      <c r="M65" s="256"/>
      <c r="N65" s="257"/>
      <c r="O65" s="262"/>
      <c r="P65" s="244"/>
      <c r="Q65" s="39"/>
      <c r="R65" s="38"/>
      <c r="S65" s="37"/>
      <c r="T65" s="38"/>
      <c r="U65" s="37"/>
      <c r="V65" s="38"/>
      <c r="W65" s="37"/>
      <c r="X65" s="38"/>
      <c r="Y65" s="37"/>
      <c r="Z65" s="40"/>
      <c r="AA65" s="41"/>
      <c r="AB65" s="42"/>
      <c r="AC65" s="296"/>
      <c r="AD65" s="300"/>
      <c r="AE65" s="306" t="str">
        <f t="shared" si="41"/>
        <v/>
      </c>
      <c r="AF65" s="375"/>
    </row>
    <row r="66" spans="1:32" ht="15.95" customHeight="1" x14ac:dyDescent="0.25">
      <c r="A66" s="302" t="str">
        <f t="shared" si="39"/>
        <v/>
      </c>
      <c r="B66" s="304" t="str">
        <f t="shared" si="40"/>
        <v/>
      </c>
      <c r="C66" s="287"/>
      <c r="D66" s="351"/>
      <c r="E66" s="33"/>
      <c r="F66" s="34"/>
      <c r="G66" s="357"/>
      <c r="H66" s="359"/>
      <c r="I66" s="265"/>
      <c r="J66" s="266"/>
      <c r="K66" s="363"/>
      <c r="L66" s="367"/>
      <c r="M66" s="256"/>
      <c r="N66" s="257"/>
      <c r="O66" s="262"/>
      <c r="P66" s="244"/>
      <c r="Q66" s="39"/>
      <c r="R66" s="38"/>
      <c r="S66" s="37"/>
      <c r="T66" s="38"/>
      <c r="U66" s="37"/>
      <c r="V66" s="38"/>
      <c r="W66" s="37"/>
      <c r="X66" s="38"/>
      <c r="Y66" s="37"/>
      <c r="Z66" s="40"/>
      <c r="AA66" s="41"/>
      <c r="AB66" s="42"/>
      <c r="AC66" s="296"/>
      <c r="AD66" s="300"/>
      <c r="AE66" s="306" t="str">
        <f t="shared" si="41"/>
        <v/>
      </c>
      <c r="AF66" s="375"/>
    </row>
    <row r="67" spans="1:32" ht="15.95" customHeight="1" x14ac:dyDescent="0.25">
      <c r="A67" s="302" t="str">
        <f t="shared" si="39"/>
        <v/>
      </c>
      <c r="B67" s="304" t="str">
        <f t="shared" si="40"/>
        <v/>
      </c>
      <c r="C67" s="286"/>
      <c r="D67" s="351"/>
      <c r="E67" s="33"/>
      <c r="F67" s="34"/>
      <c r="G67" s="355"/>
      <c r="H67" s="359"/>
      <c r="I67" s="265"/>
      <c r="J67" s="266"/>
      <c r="K67" s="363"/>
      <c r="L67" s="367"/>
      <c r="M67" s="256"/>
      <c r="N67" s="257"/>
      <c r="O67" s="262"/>
      <c r="P67" s="244"/>
      <c r="Q67" s="39"/>
      <c r="R67" s="38"/>
      <c r="S67" s="37"/>
      <c r="T67" s="38"/>
      <c r="U67" s="37"/>
      <c r="V67" s="38"/>
      <c r="W67" s="37"/>
      <c r="X67" s="38"/>
      <c r="Y67" s="37"/>
      <c r="Z67" s="40"/>
      <c r="AA67" s="41"/>
      <c r="AB67" s="42"/>
      <c r="AC67" s="296"/>
      <c r="AD67" s="373"/>
      <c r="AE67" s="306" t="str">
        <f t="shared" si="41"/>
        <v/>
      </c>
      <c r="AF67" s="375"/>
    </row>
    <row r="68" spans="1:32" ht="15.95" customHeight="1" x14ac:dyDescent="0.25">
      <c r="A68" s="302" t="str">
        <f t="shared" si="39"/>
        <v/>
      </c>
      <c r="B68" s="304" t="str">
        <f t="shared" ref="B68:B112" si="42">IF(C68&lt;&gt;"", dwgdelimiter,"")</f>
        <v/>
      </c>
      <c r="C68" s="286"/>
      <c r="D68" s="350"/>
      <c r="E68" s="33"/>
      <c r="F68" s="34"/>
      <c r="G68" s="355"/>
      <c r="H68" s="359"/>
      <c r="I68" s="265"/>
      <c r="J68" s="266"/>
      <c r="K68" s="363"/>
      <c r="L68" s="367"/>
      <c r="M68" s="256"/>
      <c r="N68" s="257"/>
      <c r="O68" s="262"/>
      <c r="P68" s="244"/>
      <c r="Q68" s="39"/>
      <c r="R68" s="38"/>
      <c r="S68" s="37"/>
      <c r="T68" s="38"/>
      <c r="U68" s="37"/>
      <c r="V68" s="38"/>
      <c r="W68" s="37"/>
      <c r="X68" s="38"/>
      <c r="Y68" s="37"/>
      <c r="Z68" s="40"/>
      <c r="AA68" s="41"/>
      <c r="AB68" s="42"/>
      <c r="AC68" s="297"/>
      <c r="AD68" s="297"/>
      <c r="AE68" s="306" t="str">
        <f t="shared" si="41"/>
        <v/>
      </c>
      <c r="AF68" s="376"/>
    </row>
    <row r="69" spans="1:32" ht="15.95" customHeight="1" x14ac:dyDescent="0.25">
      <c r="A69" s="302" t="str">
        <f t="shared" ref="A69:A80" si="43">IF(C69&lt;&gt;"",dwgnoprefix,"")</f>
        <v/>
      </c>
      <c r="B69" s="304" t="str">
        <f t="shared" si="42"/>
        <v/>
      </c>
      <c r="C69" s="286"/>
      <c r="D69" s="350"/>
      <c r="E69" s="33"/>
      <c r="F69" s="34"/>
      <c r="G69" s="355"/>
      <c r="H69" s="359"/>
      <c r="I69" s="265"/>
      <c r="J69" s="266"/>
      <c r="K69" s="363"/>
      <c r="L69" s="367"/>
      <c r="M69" s="256"/>
      <c r="N69" s="257"/>
      <c r="O69" s="262"/>
      <c r="P69" s="244"/>
      <c r="Q69" s="39"/>
      <c r="R69" s="38"/>
      <c r="S69" s="37"/>
      <c r="T69" s="38"/>
      <c r="U69" s="37"/>
      <c r="V69" s="38"/>
      <c r="W69" s="37"/>
      <c r="X69" s="38"/>
      <c r="Y69" s="37"/>
      <c r="Z69" s="40"/>
      <c r="AA69" s="41"/>
      <c r="AB69" s="42"/>
      <c r="AC69" s="296"/>
      <c r="AD69" s="373"/>
      <c r="AE69" s="306" t="str">
        <f t="shared" si="41"/>
        <v/>
      </c>
      <c r="AF69" s="376"/>
    </row>
    <row r="70" spans="1:32" ht="15.95" customHeight="1" x14ac:dyDescent="0.25">
      <c r="A70" s="302" t="str">
        <f t="shared" si="43"/>
        <v/>
      </c>
      <c r="B70" s="304" t="str">
        <f t="shared" si="42"/>
        <v/>
      </c>
      <c r="C70" s="286"/>
      <c r="D70" s="350"/>
      <c r="E70" s="33"/>
      <c r="F70" s="34"/>
      <c r="G70" s="355"/>
      <c r="H70" s="359"/>
      <c r="I70" s="265"/>
      <c r="J70" s="266"/>
      <c r="K70" s="363"/>
      <c r="L70" s="367"/>
      <c r="M70" s="256"/>
      <c r="N70" s="257"/>
      <c r="O70" s="262"/>
      <c r="P70" s="244"/>
      <c r="Q70" s="39"/>
      <c r="R70" s="38"/>
      <c r="S70" s="37"/>
      <c r="T70" s="38"/>
      <c r="U70" s="37"/>
      <c r="V70" s="38"/>
      <c r="W70" s="37"/>
      <c r="X70" s="38"/>
      <c r="Y70" s="37"/>
      <c r="Z70" s="40"/>
      <c r="AA70" s="41"/>
      <c r="AB70" s="42"/>
      <c r="AC70" s="296"/>
      <c r="AD70" s="373"/>
      <c r="AE70" s="306" t="str">
        <f t="shared" si="41"/>
        <v/>
      </c>
      <c r="AF70" s="376"/>
    </row>
    <row r="71" spans="1:32" ht="15.95" customHeight="1" x14ac:dyDescent="0.25">
      <c r="A71" s="302" t="str">
        <f>IF(C71&lt;&gt;"",dwgnoprefix,"")</f>
        <v/>
      </c>
      <c r="B71" s="304" t="str">
        <f>IF(C71&lt;&gt;"", dwgdelimiter,"")</f>
        <v/>
      </c>
      <c r="C71" s="286"/>
      <c r="D71" s="350"/>
      <c r="E71" s="33"/>
      <c r="F71" s="34"/>
      <c r="G71" s="355"/>
      <c r="H71" s="359"/>
      <c r="I71" s="265"/>
      <c r="J71" s="266"/>
      <c r="K71" s="363"/>
      <c r="L71" s="367"/>
      <c r="M71" s="256"/>
      <c r="N71" s="257"/>
      <c r="O71" s="262"/>
      <c r="P71" s="244"/>
      <c r="Q71" s="39"/>
      <c r="R71" s="38"/>
      <c r="S71" s="37"/>
      <c r="T71" s="38"/>
      <c r="U71" s="37"/>
      <c r="V71" s="38"/>
      <c r="W71" s="37"/>
      <c r="X71" s="38"/>
      <c r="Y71" s="37"/>
      <c r="Z71" s="40"/>
      <c r="AA71" s="41"/>
      <c r="AB71" s="42"/>
      <c r="AC71" s="296"/>
      <c r="AD71" s="373"/>
      <c r="AE71" s="306" t="str">
        <f t="shared" si="41"/>
        <v/>
      </c>
      <c r="AF71" s="376"/>
    </row>
    <row r="72" spans="1:32" ht="15.95" customHeight="1" x14ac:dyDescent="0.25">
      <c r="A72" s="302" t="str">
        <f t="shared" si="43"/>
        <v/>
      </c>
      <c r="B72" s="304" t="str">
        <f t="shared" si="42"/>
        <v/>
      </c>
      <c r="C72" s="286"/>
      <c r="D72" s="350"/>
      <c r="E72" s="33"/>
      <c r="F72" s="34"/>
      <c r="G72" s="355"/>
      <c r="H72" s="359"/>
      <c r="I72" s="265"/>
      <c r="J72" s="266"/>
      <c r="K72" s="363"/>
      <c r="L72" s="367"/>
      <c r="M72" s="256"/>
      <c r="N72" s="257"/>
      <c r="O72" s="262"/>
      <c r="P72" s="244"/>
      <c r="Q72" s="39"/>
      <c r="R72" s="38"/>
      <c r="S72" s="37"/>
      <c r="T72" s="38"/>
      <c r="U72" s="37"/>
      <c r="V72" s="38"/>
      <c r="W72" s="37"/>
      <c r="X72" s="38"/>
      <c r="Y72" s="37"/>
      <c r="Z72" s="40"/>
      <c r="AA72" s="41"/>
      <c r="AB72" s="42"/>
      <c r="AC72" s="296"/>
      <c r="AD72" s="373"/>
      <c r="AE72" s="306" t="str">
        <f t="shared" si="41"/>
        <v/>
      </c>
      <c r="AF72" s="376"/>
    </row>
    <row r="73" spans="1:32" ht="15.95" customHeight="1" x14ac:dyDescent="0.25">
      <c r="A73" s="302" t="str">
        <f t="shared" si="43"/>
        <v/>
      </c>
      <c r="B73" s="304" t="str">
        <f t="shared" si="42"/>
        <v/>
      </c>
      <c r="C73" s="286"/>
      <c r="D73" s="350"/>
      <c r="E73" s="33"/>
      <c r="F73" s="34"/>
      <c r="G73" s="355"/>
      <c r="H73" s="359"/>
      <c r="I73" s="265"/>
      <c r="J73" s="266"/>
      <c r="K73" s="363"/>
      <c r="L73" s="367"/>
      <c r="M73" s="256"/>
      <c r="N73" s="257"/>
      <c r="O73" s="262"/>
      <c r="P73" s="244"/>
      <c r="Q73" s="39"/>
      <c r="R73" s="38"/>
      <c r="S73" s="37"/>
      <c r="T73" s="38"/>
      <c r="U73" s="37"/>
      <c r="V73" s="38"/>
      <c r="W73" s="37"/>
      <c r="X73" s="38"/>
      <c r="Y73" s="37"/>
      <c r="Z73" s="40"/>
      <c r="AA73" s="41"/>
      <c r="AB73" s="42"/>
      <c r="AC73" s="296"/>
      <c r="AD73" s="373"/>
      <c r="AE73" s="306" t="str">
        <f t="shared" si="41"/>
        <v/>
      </c>
      <c r="AF73" s="376"/>
    </row>
    <row r="74" spans="1:32" ht="15.95" customHeight="1" x14ac:dyDescent="0.25">
      <c r="A74" s="302" t="str">
        <f t="shared" si="43"/>
        <v/>
      </c>
      <c r="B74" s="304" t="str">
        <f t="shared" si="42"/>
        <v/>
      </c>
      <c r="C74" s="286"/>
      <c r="D74" s="350"/>
      <c r="E74" s="33"/>
      <c r="F74" s="34"/>
      <c r="G74" s="355"/>
      <c r="H74" s="359"/>
      <c r="I74" s="265"/>
      <c r="J74" s="266"/>
      <c r="K74" s="363"/>
      <c r="L74" s="367"/>
      <c r="M74" s="256"/>
      <c r="N74" s="257"/>
      <c r="O74" s="262"/>
      <c r="P74" s="244"/>
      <c r="Q74" s="39"/>
      <c r="R74" s="38"/>
      <c r="S74" s="37"/>
      <c r="T74" s="38"/>
      <c r="U74" s="37"/>
      <c r="V74" s="38"/>
      <c r="W74" s="37"/>
      <c r="X74" s="38"/>
      <c r="Y74" s="37"/>
      <c r="Z74" s="40"/>
      <c r="AA74" s="41"/>
      <c r="AB74" s="42"/>
      <c r="AC74" s="296"/>
      <c r="AD74" s="373"/>
      <c r="AE74" s="306" t="str">
        <f t="shared" si="41"/>
        <v/>
      </c>
      <c r="AF74" s="376"/>
    </row>
    <row r="75" spans="1:32" ht="15.95" customHeight="1" x14ac:dyDescent="0.25">
      <c r="A75" s="302" t="str">
        <f t="shared" si="43"/>
        <v/>
      </c>
      <c r="B75" s="304" t="str">
        <f t="shared" si="42"/>
        <v/>
      </c>
      <c r="C75" s="286"/>
      <c r="D75" s="350"/>
      <c r="E75" s="33"/>
      <c r="F75" s="34"/>
      <c r="G75" s="355"/>
      <c r="H75" s="359"/>
      <c r="I75" s="265"/>
      <c r="J75" s="266"/>
      <c r="K75" s="363"/>
      <c r="L75" s="367"/>
      <c r="M75" s="256"/>
      <c r="N75" s="257"/>
      <c r="O75" s="262"/>
      <c r="P75" s="244"/>
      <c r="Q75" s="39"/>
      <c r="R75" s="38"/>
      <c r="S75" s="37"/>
      <c r="T75" s="38"/>
      <c r="U75" s="37"/>
      <c r="V75" s="38"/>
      <c r="W75" s="37"/>
      <c r="X75" s="38"/>
      <c r="Y75" s="37"/>
      <c r="Z75" s="40"/>
      <c r="AA75" s="41"/>
      <c r="AB75" s="42"/>
      <c r="AC75" s="296"/>
      <c r="AD75" s="373"/>
      <c r="AE75" s="306" t="str">
        <f t="shared" si="41"/>
        <v/>
      </c>
      <c r="AF75" s="376"/>
    </row>
    <row r="76" spans="1:32" ht="15.95" customHeight="1" x14ac:dyDescent="0.25">
      <c r="A76" s="302" t="str">
        <f t="shared" si="43"/>
        <v/>
      </c>
      <c r="B76" s="304" t="str">
        <f t="shared" si="42"/>
        <v/>
      </c>
      <c r="C76" s="285"/>
      <c r="D76" s="350"/>
      <c r="E76" s="33"/>
      <c r="F76" s="34"/>
      <c r="G76" s="355"/>
      <c r="H76" s="359"/>
      <c r="I76" s="265"/>
      <c r="J76" s="266"/>
      <c r="K76" s="363"/>
      <c r="L76" s="367"/>
      <c r="M76" s="256"/>
      <c r="N76" s="257"/>
      <c r="O76" s="262"/>
      <c r="P76" s="244"/>
      <c r="Q76" s="39"/>
      <c r="R76" s="38"/>
      <c r="S76" s="37"/>
      <c r="T76" s="38"/>
      <c r="U76" s="37"/>
      <c r="V76" s="38"/>
      <c r="W76" s="37"/>
      <c r="X76" s="38"/>
      <c r="Y76" s="37"/>
      <c r="Z76" s="40"/>
      <c r="AA76" s="41"/>
      <c r="AB76" s="42"/>
      <c r="AC76" s="296"/>
      <c r="AD76" s="373"/>
      <c r="AE76" s="306" t="str">
        <f t="shared" si="41"/>
        <v/>
      </c>
      <c r="AF76" s="376"/>
    </row>
    <row r="77" spans="1:32" ht="15.95" customHeight="1" x14ac:dyDescent="0.25">
      <c r="A77" s="302" t="str">
        <f t="shared" si="43"/>
        <v/>
      </c>
      <c r="B77" s="304" t="str">
        <f t="shared" si="42"/>
        <v/>
      </c>
      <c r="C77" s="285"/>
      <c r="D77" s="352"/>
      <c r="E77" s="33"/>
      <c r="F77" s="34"/>
      <c r="G77" s="355"/>
      <c r="H77" s="359"/>
      <c r="I77" s="265"/>
      <c r="J77" s="266"/>
      <c r="K77" s="363"/>
      <c r="L77" s="367"/>
      <c r="M77" s="256"/>
      <c r="N77" s="257"/>
      <c r="O77" s="262"/>
      <c r="P77" s="244"/>
      <c r="Q77" s="39"/>
      <c r="R77" s="38"/>
      <c r="S77" s="37"/>
      <c r="T77" s="38"/>
      <c r="U77" s="37"/>
      <c r="V77" s="38"/>
      <c r="W77" s="37"/>
      <c r="X77" s="38"/>
      <c r="Y77" s="37"/>
      <c r="Z77" s="40"/>
      <c r="AA77" s="41"/>
      <c r="AB77" s="42"/>
      <c r="AC77" s="296"/>
      <c r="AD77" s="373"/>
      <c r="AE77" s="306" t="str">
        <f t="shared" si="41"/>
        <v/>
      </c>
      <c r="AF77" s="376"/>
    </row>
    <row r="78" spans="1:32" ht="15.95" customHeight="1" x14ac:dyDescent="0.25">
      <c r="A78" s="302" t="str">
        <f t="shared" si="43"/>
        <v/>
      </c>
      <c r="B78" s="304" t="str">
        <f t="shared" si="42"/>
        <v/>
      </c>
      <c r="C78" s="285"/>
      <c r="D78" s="352"/>
      <c r="E78" s="33"/>
      <c r="F78" s="34"/>
      <c r="G78" s="355"/>
      <c r="H78" s="359"/>
      <c r="I78" s="265"/>
      <c r="J78" s="266"/>
      <c r="K78" s="363"/>
      <c r="L78" s="367"/>
      <c r="M78" s="256"/>
      <c r="N78" s="257"/>
      <c r="O78" s="262"/>
      <c r="P78" s="244"/>
      <c r="Q78" s="39"/>
      <c r="R78" s="38"/>
      <c r="S78" s="37"/>
      <c r="T78" s="38"/>
      <c r="U78" s="37"/>
      <c r="V78" s="38"/>
      <c r="W78" s="37"/>
      <c r="X78" s="38"/>
      <c r="Y78" s="37"/>
      <c r="Z78" s="40"/>
      <c r="AA78" s="41"/>
      <c r="AB78" s="42"/>
      <c r="AC78" s="296"/>
      <c r="AD78" s="373"/>
      <c r="AE78" s="306" t="str">
        <f t="shared" si="41"/>
        <v/>
      </c>
      <c r="AF78" s="376"/>
    </row>
    <row r="79" spans="1:32" ht="15.95" customHeight="1" x14ac:dyDescent="0.25">
      <c r="A79" s="302" t="str">
        <f t="shared" si="43"/>
        <v/>
      </c>
      <c r="B79" s="304" t="str">
        <f t="shared" si="42"/>
        <v/>
      </c>
      <c r="C79" s="285"/>
      <c r="D79" s="352"/>
      <c r="E79" s="33"/>
      <c r="F79" s="34"/>
      <c r="G79" s="355"/>
      <c r="H79" s="359"/>
      <c r="I79" s="265"/>
      <c r="J79" s="266"/>
      <c r="K79" s="363"/>
      <c r="L79" s="367"/>
      <c r="M79" s="256"/>
      <c r="N79" s="257"/>
      <c r="O79" s="262"/>
      <c r="P79" s="244"/>
      <c r="Q79" s="39"/>
      <c r="R79" s="38"/>
      <c r="S79" s="37"/>
      <c r="T79" s="38"/>
      <c r="U79" s="37"/>
      <c r="V79" s="38"/>
      <c r="W79" s="37"/>
      <c r="X79" s="38"/>
      <c r="Y79" s="37"/>
      <c r="Z79" s="40"/>
      <c r="AA79" s="41"/>
      <c r="AB79" s="42"/>
      <c r="AC79" s="296"/>
      <c r="AD79" s="373"/>
      <c r="AE79" s="306" t="str">
        <f t="shared" si="41"/>
        <v/>
      </c>
      <c r="AF79" s="376"/>
    </row>
    <row r="80" spans="1:32" ht="15.95" customHeight="1" x14ac:dyDescent="0.25">
      <c r="A80" s="302" t="str">
        <f t="shared" si="43"/>
        <v/>
      </c>
      <c r="B80" s="304" t="str">
        <f t="shared" si="42"/>
        <v/>
      </c>
      <c r="C80" s="285"/>
      <c r="D80" s="352"/>
      <c r="E80" s="33"/>
      <c r="F80" s="34"/>
      <c r="G80" s="355"/>
      <c r="H80" s="359"/>
      <c r="I80" s="265"/>
      <c r="J80" s="266"/>
      <c r="K80" s="363"/>
      <c r="L80" s="367"/>
      <c r="M80" s="256"/>
      <c r="N80" s="257"/>
      <c r="O80" s="262"/>
      <c r="P80" s="244"/>
      <c r="Q80" s="39"/>
      <c r="R80" s="38"/>
      <c r="S80" s="37"/>
      <c r="T80" s="38"/>
      <c r="U80" s="37"/>
      <c r="V80" s="38"/>
      <c r="W80" s="37"/>
      <c r="X80" s="38"/>
      <c r="Y80" s="37"/>
      <c r="Z80" s="40"/>
      <c r="AA80" s="41"/>
      <c r="AB80" s="42"/>
      <c r="AC80" s="296"/>
      <c r="AD80" s="373"/>
      <c r="AE80" s="306" t="str">
        <f t="shared" si="41"/>
        <v/>
      </c>
      <c r="AF80" s="376"/>
    </row>
    <row r="81" spans="1:32" ht="15.95" customHeight="1" x14ac:dyDescent="0.25">
      <c r="A81" s="302" t="str">
        <f t="shared" ref="A81:A112" si="44">IF(C81&lt;&gt;"",dwgnoprefix,"")</f>
        <v/>
      </c>
      <c r="B81" s="304" t="str">
        <f t="shared" si="42"/>
        <v/>
      </c>
      <c r="C81" s="285"/>
      <c r="D81" s="352"/>
      <c r="E81" s="33"/>
      <c r="F81" s="34"/>
      <c r="G81" s="355"/>
      <c r="H81" s="359"/>
      <c r="I81" s="265"/>
      <c r="J81" s="266"/>
      <c r="K81" s="363"/>
      <c r="L81" s="367"/>
      <c r="M81" s="256"/>
      <c r="N81" s="257"/>
      <c r="O81" s="262"/>
      <c r="P81" s="244"/>
      <c r="Q81" s="39"/>
      <c r="R81" s="38"/>
      <c r="S81" s="37"/>
      <c r="T81" s="38"/>
      <c r="U81" s="37"/>
      <c r="V81" s="38"/>
      <c r="W81" s="37"/>
      <c r="X81" s="38"/>
      <c r="Y81" s="37"/>
      <c r="Z81" s="40"/>
      <c r="AA81" s="37"/>
      <c r="AB81" s="40"/>
      <c r="AC81" s="296"/>
      <c r="AD81" s="373"/>
      <c r="AE81" s="306" t="str">
        <f t="shared" si="41"/>
        <v/>
      </c>
      <c r="AF81" s="376"/>
    </row>
    <row r="82" spans="1:32" ht="15.95" customHeight="1" x14ac:dyDescent="0.25">
      <c r="A82" s="302" t="str">
        <f t="shared" si="44"/>
        <v/>
      </c>
      <c r="B82" s="304" t="str">
        <f t="shared" si="42"/>
        <v/>
      </c>
      <c r="C82" s="285"/>
      <c r="D82" s="352"/>
      <c r="E82" s="33"/>
      <c r="F82" s="34"/>
      <c r="G82" s="355"/>
      <c r="H82" s="359"/>
      <c r="I82" s="265"/>
      <c r="J82" s="266"/>
      <c r="K82" s="363"/>
      <c r="L82" s="367"/>
      <c r="M82" s="256"/>
      <c r="N82" s="257"/>
      <c r="O82" s="262"/>
      <c r="P82" s="244"/>
      <c r="Q82" s="39"/>
      <c r="R82" s="38"/>
      <c r="S82" s="37"/>
      <c r="T82" s="38"/>
      <c r="U82" s="37"/>
      <c r="V82" s="38"/>
      <c r="W82" s="37"/>
      <c r="X82" s="38"/>
      <c r="Y82" s="37"/>
      <c r="Z82" s="40"/>
      <c r="AA82" s="37"/>
      <c r="AB82" s="40"/>
      <c r="AC82" s="296"/>
      <c r="AD82" s="373"/>
      <c r="AE82" s="306" t="str">
        <f t="shared" si="41"/>
        <v/>
      </c>
      <c r="AF82" s="376"/>
    </row>
    <row r="83" spans="1:32" ht="15.95" customHeight="1" x14ac:dyDescent="0.25">
      <c r="A83" s="302" t="str">
        <f t="shared" si="44"/>
        <v/>
      </c>
      <c r="B83" s="304" t="str">
        <f t="shared" si="42"/>
        <v/>
      </c>
      <c r="C83" s="285"/>
      <c r="D83" s="352"/>
      <c r="E83" s="33"/>
      <c r="F83" s="34"/>
      <c r="G83" s="355"/>
      <c r="H83" s="359"/>
      <c r="I83" s="265"/>
      <c r="J83" s="266"/>
      <c r="K83" s="363"/>
      <c r="L83" s="367"/>
      <c r="M83" s="256"/>
      <c r="N83" s="257"/>
      <c r="O83" s="262"/>
      <c r="P83" s="244"/>
      <c r="Q83" s="39"/>
      <c r="R83" s="38"/>
      <c r="S83" s="37"/>
      <c r="T83" s="38"/>
      <c r="U83" s="37"/>
      <c r="V83" s="38"/>
      <c r="W83" s="37"/>
      <c r="X83" s="38"/>
      <c r="Y83" s="37"/>
      <c r="Z83" s="40"/>
      <c r="AA83" s="37"/>
      <c r="AB83" s="40"/>
      <c r="AC83" s="296"/>
      <c r="AD83" s="373"/>
      <c r="AE83" s="306" t="str">
        <f t="shared" si="41"/>
        <v/>
      </c>
      <c r="AF83" s="376"/>
    </row>
    <row r="84" spans="1:32" ht="15.95" customHeight="1" x14ac:dyDescent="0.25">
      <c r="A84" s="302" t="str">
        <f t="shared" si="44"/>
        <v/>
      </c>
      <c r="B84" s="304" t="str">
        <f t="shared" si="42"/>
        <v/>
      </c>
      <c r="C84" s="285"/>
      <c r="D84" s="352"/>
      <c r="E84" s="33"/>
      <c r="F84" s="34"/>
      <c r="G84" s="355"/>
      <c r="H84" s="359"/>
      <c r="I84" s="265"/>
      <c r="J84" s="266"/>
      <c r="K84" s="363"/>
      <c r="L84" s="367"/>
      <c r="M84" s="256"/>
      <c r="N84" s="257"/>
      <c r="O84" s="262"/>
      <c r="P84" s="244"/>
      <c r="Q84" s="39"/>
      <c r="R84" s="38"/>
      <c r="S84" s="37"/>
      <c r="T84" s="38"/>
      <c r="U84" s="37"/>
      <c r="V84" s="38"/>
      <c r="W84" s="37"/>
      <c r="X84" s="38"/>
      <c r="Y84" s="37"/>
      <c r="Z84" s="40"/>
      <c r="AA84" s="41"/>
      <c r="AB84" s="42"/>
      <c r="AC84" s="296"/>
      <c r="AD84" s="373"/>
      <c r="AE84" s="306" t="str">
        <f t="shared" si="41"/>
        <v/>
      </c>
      <c r="AF84" s="376"/>
    </row>
    <row r="85" spans="1:32" ht="15.95" customHeight="1" x14ac:dyDescent="0.25">
      <c r="A85" s="302" t="str">
        <f t="shared" si="44"/>
        <v/>
      </c>
      <c r="B85" s="304" t="str">
        <f t="shared" si="42"/>
        <v/>
      </c>
      <c r="C85" s="285"/>
      <c r="D85" s="352"/>
      <c r="E85" s="33"/>
      <c r="F85" s="34"/>
      <c r="G85" s="355"/>
      <c r="H85" s="359"/>
      <c r="I85" s="265"/>
      <c r="J85" s="266"/>
      <c r="K85" s="363"/>
      <c r="L85" s="367"/>
      <c r="M85" s="256"/>
      <c r="N85" s="257"/>
      <c r="O85" s="262"/>
      <c r="P85" s="244"/>
      <c r="Q85" s="39"/>
      <c r="R85" s="38"/>
      <c r="S85" s="37"/>
      <c r="T85" s="38"/>
      <c r="U85" s="37"/>
      <c r="V85" s="38"/>
      <c r="W85" s="37"/>
      <c r="X85" s="38"/>
      <c r="Y85" s="37"/>
      <c r="Z85" s="40"/>
      <c r="AA85" s="41"/>
      <c r="AB85" s="42"/>
      <c r="AC85" s="296"/>
      <c r="AD85" s="373"/>
      <c r="AE85" s="306" t="str">
        <f t="shared" si="41"/>
        <v/>
      </c>
      <c r="AF85" s="376"/>
    </row>
    <row r="86" spans="1:32" ht="15.95" customHeight="1" x14ac:dyDescent="0.25">
      <c r="A86" s="302" t="str">
        <f t="shared" si="44"/>
        <v/>
      </c>
      <c r="B86" s="304" t="str">
        <f t="shared" si="42"/>
        <v/>
      </c>
      <c r="C86" s="285"/>
      <c r="D86" s="352"/>
      <c r="E86" s="33"/>
      <c r="F86" s="34"/>
      <c r="G86" s="355"/>
      <c r="H86" s="359"/>
      <c r="I86" s="265"/>
      <c r="J86" s="266"/>
      <c r="K86" s="363"/>
      <c r="L86" s="367"/>
      <c r="M86" s="256"/>
      <c r="N86" s="257"/>
      <c r="O86" s="262"/>
      <c r="P86" s="244"/>
      <c r="Q86" s="39"/>
      <c r="R86" s="38"/>
      <c r="S86" s="37"/>
      <c r="T86" s="38"/>
      <c r="U86" s="37"/>
      <c r="V86" s="38"/>
      <c r="W86" s="37"/>
      <c r="X86" s="38"/>
      <c r="Y86" s="37"/>
      <c r="Z86" s="40"/>
      <c r="AA86" s="41"/>
      <c r="AB86" s="42"/>
      <c r="AC86" s="296"/>
      <c r="AD86" s="373"/>
      <c r="AE86" s="306" t="str">
        <f t="shared" si="41"/>
        <v/>
      </c>
      <c r="AF86" s="376"/>
    </row>
    <row r="87" spans="1:32" ht="15.95" customHeight="1" x14ac:dyDescent="0.25">
      <c r="A87" s="302" t="str">
        <f t="shared" si="44"/>
        <v/>
      </c>
      <c r="B87" s="304" t="str">
        <f t="shared" si="42"/>
        <v/>
      </c>
      <c r="C87" s="285"/>
      <c r="D87" s="352"/>
      <c r="E87" s="33"/>
      <c r="F87" s="34"/>
      <c r="G87" s="355"/>
      <c r="H87" s="359"/>
      <c r="I87" s="265"/>
      <c r="J87" s="266"/>
      <c r="K87" s="363"/>
      <c r="L87" s="367"/>
      <c r="M87" s="256"/>
      <c r="N87" s="257"/>
      <c r="O87" s="262"/>
      <c r="P87" s="244"/>
      <c r="Q87" s="39"/>
      <c r="R87" s="38"/>
      <c r="S87" s="37"/>
      <c r="T87" s="38"/>
      <c r="U87" s="37"/>
      <c r="V87" s="38"/>
      <c r="W87" s="37"/>
      <c r="X87" s="38"/>
      <c r="Y87" s="37"/>
      <c r="Z87" s="40"/>
      <c r="AA87" s="41"/>
      <c r="AB87" s="42"/>
      <c r="AC87" s="296"/>
      <c r="AD87" s="373"/>
      <c r="AE87" s="306" t="str">
        <f t="shared" si="41"/>
        <v/>
      </c>
      <c r="AF87" s="376"/>
    </row>
    <row r="88" spans="1:32" ht="15.95" customHeight="1" x14ac:dyDescent="0.25">
      <c r="A88" s="302" t="str">
        <f t="shared" si="44"/>
        <v/>
      </c>
      <c r="B88" s="304" t="str">
        <f t="shared" si="42"/>
        <v/>
      </c>
      <c r="C88" s="285"/>
      <c r="D88" s="352"/>
      <c r="E88" s="33"/>
      <c r="F88" s="34"/>
      <c r="G88" s="355"/>
      <c r="H88" s="359"/>
      <c r="I88" s="265"/>
      <c r="J88" s="266"/>
      <c r="K88" s="363"/>
      <c r="L88" s="367"/>
      <c r="M88" s="256"/>
      <c r="N88" s="257"/>
      <c r="O88" s="262"/>
      <c r="P88" s="244"/>
      <c r="Q88" s="39"/>
      <c r="R88" s="38"/>
      <c r="S88" s="37"/>
      <c r="T88" s="38"/>
      <c r="U88" s="37"/>
      <c r="V88" s="38"/>
      <c r="W88" s="37"/>
      <c r="X88" s="38"/>
      <c r="Y88" s="37"/>
      <c r="Z88" s="40"/>
      <c r="AA88" s="41"/>
      <c r="AB88" s="42"/>
      <c r="AC88" s="296"/>
      <c r="AD88" s="373"/>
      <c r="AE88" s="306" t="str">
        <f t="shared" si="41"/>
        <v/>
      </c>
      <c r="AF88" s="376"/>
    </row>
    <row r="89" spans="1:32" ht="15.95" customHeight="1" x14ac:dyDescent="0.25">
      <c r="A89" s="302" t="str">
        <f t="shared" si="44"/>
        <v/>
      </c>
      <c r="B89" s="304" t="str">
        <f t="shared" si="42"/>
        <v/>
      </c>
      <c r="C89" s="285"/>
      <c r="D89" s="352"/>
      <c r="E89" s="33"/>
      <c r="F89" s="34"/>
      <c r="G89" s="355"/>
      <c r="H89" s="359"/>
      <c r="I89" s="265"/>
      <c r="J89" s="266"/>
      <c r="K89" s="363"/>
      <c r="L89" s="367"/>
      <c r="M89" s="256"/>
      <c r="N89" s="257"/>
      <c r="O89" s="262"/>
      <c r="P89" s="244"/>
      <c r="Q89" s="39"/>
      <c r="R89" s="38"/>
      <c r="S89" s="37"/>
      <c r="T89" s="38"/>
      <c r="U89" s="37"/>
      <c r="V89" s="38"/>
      <c r="W89" s="37"/>
      <c r="X89" s="38"/>
      <c r="Y89" s="37"/>
      <c r="Z89" s="40"/>
      <c r="AA89" s="41"/>
      <c r="AB89" s="42"/>
      <c r="AC89" s="296"/>
      <c r="AD89" s="373"/>
      <c r="AE89" s="306" t="str">
        <f t="shared" si="41"/>
        <v/>
      </c>
      <c r="AF89" s="376"/>
    </row>
    <row r="90" spans="1:32" ht="15.95" customHeight="1" x14ac:dyDescent="0.25">
      <c r="A90" s="302" t="str">
        <f t="shared" si="44"/>
        <v/>
      </c>
      <c r="B90" s="304" t="str">
        <f t="shared" si="42"/>
        <v/>
      </c>
      <c r="C90" s="285"/>
      <c r="D90" s="352"/>
      <c r="E90" s="33"/>
      <c r="F90" s="34"/>
      <c r="G90" s="355"/>
      <c r="H90" s="359"/>
      <c r="I90" s="265"/>
      <c r="J90" s="266"/>
      <c r="K90" s="363"/>
      <c r="L90" s="367"/>
      <c r="M90" s="256"/>
      <c r="N90" s="257"/>
      <c r="O90" s="262"/>
      <c r="P90" s="244"/>
      <c r="Q90" s="39"/>
      <c r="R90" s="38"/>
      <c r="S90" s="37"/>
      <c r="T90" s="38"/>
      <c r="U90" s="37"/>
      <c r="V90" s="38"/>
      <c r="W90" s="37"/>
      <c r="X90" s="38"/>
      <c r="Y90" s="37"/>
      <c r="Z90" s="40"/>
      <c r="AA90" s="41"/>
      <c r="AB90" s="42"/>
      <c r="AC90" s="296"/>
      <c r="AD90" s="373"/>
      <c r="AE90" s="306" t="str">
        <f t="shared" si="41"/>
        <v/>
      </c>
      <c r="AF90" s="376"/>
    </row>
    <row r="91" spans="1:32" ht="15.95" customHeight="1" x14ac:dyDescent="0.25">
      <c r="A91" s="302" t="str">
        <f t="shared" si="44"/>
        <v/>
      </c>
      <c r="B91" s="304" t="str">
        <f t="shared" si="42"/>
        <v/>
      </c>
      <c r="C91" s="285"/>
      <c r="D91" s="352"/>
      <c r="E91" s="33"/>
      <c r="F91" s="34"/>
      <c r="G91" s="355"/>
      <c r="H91" s="359"/>
      <c r="I91" s="265"/>
      <c r="J91" s="266"/>
      <c r="K91" s="363"/>
      <c r="L91" s="367"/>
      <c r="M91" s="256"/>
      <c r="N91" s="257"/>
      <c r="O91" s="262"/>
      <c r="P91" s="244"/>
      <c r="Q91" s="39"/>
      <c r="R91" s="38"/>
      <c r="S91" s="37"/>
      <c r="T91" s="38"/>
      <c r="U91" s="37"/>
      <c r="V91" s="38"/>
      <c r="W91" s="37"/>
      <c r="X91" s="38"/>
      <c r="Y91" s="37"/>
      <c r="Z91" s="40"/>
      <c r="AA91" s="41"/>
      <c r="AB91" s="42"/>
      <c r="AC91" s="296"/>
      <c r="AD91" s="373"/>
      <c r="AE91" s="306" t="str">
        <f t="shared" si="41"/>
        <v/>
      </c>
      <c r="AF91" s="376"/>
    </row>
    <row r="92" spans="1:32" ht="15.95" customHeight="1" x14ac:dyDescent="0.25">
      <c r="A92" s="302" t="str">
        <f t="shared" si="44"/>
        <v/>
      </c>
      <c r="B92" s="304" t="str">
        <f t="shared" si="42"/>
        <v/>
      </c>
      <c r="C92" s="285"/>
      <c r="D92" s="352"/>
      <c r="E92" s="33"/>
      <c r="F92" s="34"/>
      <c r="G92" s="355"/>
      <c r="H92" s="359"/>
      <c r="I92" s="265"/>
      <c r="J92" s="266"/>
      <c r="K92" s="363"/>
      <c r="L92" s="367"/>
      <c r="M92" s="256"/>
      <c r="N92" s="257"/>
      <c r="O92" s="262"/>
      <c r="P92" s="244"/>
      <c r="Q92" s="39"/>
      <c r="R92" s="38"/>
      <c r="S92" s="37"/>
      <c r="T92" s="38"/>
      <c r="U92" s="37"/>
      <c r="V92" s="38"/>
      <c r="W92" s="37"/>
      <c r="X92" s="38"/>
      <c r="Y92" s="37"/>
      <c r="Z92" s="40"/>
      <c r="AA92" s="37"/>
      <c r="AB92" s="40"/>
      <c r="AC92" s="296"/>
      <c r="AD92" s="373"/>
      <c r="AE92" s="306" t="str">
        <f t="shared" si="41"/>
        <v/>
      </c>
      <c r="AF92" s="376"/>
    </row>
    <row r="93" spans="1:32" ht="15.95" customHeight="1" x14ac:dyDescent="0.25">
      <c r="A93" s="302" t="str">
        <f t="shared" si="44"/>
        <v/>
      </c>
      <c r="B93" s="304" t="str">
        <f t="shared" si="42"/>
        <v/>
      </c>
      <c r="C93" s="285"/>
      <c r="D93" s="352"/>
      <c r="E93" s="33"/>
      <c r="F93" s="34"/>
      <c r="G93" s="355"/>
      <c r="H93" s="359"/>
      <c r="I93" s="265"/>
      <c r="J93" s="266"/>
      <c r="K93" s="363"/>
      <c r="L93" s="367"/>
      <c r="M93" s="256"/>
      <c r="N93" s="257"/>
      <c r="O93" s="262"/>
      <c r="P93" s="244"/>
      <c r="Q93" s="39"/>
      <c r="R93" s="38"/>
      <c r="S93" s="37"/>
      <c r="T93" s="38"/>
      <c r="U93" s="37"/>
      <c r="V93" s="38"/>
      <c r="W93" s="37"/>
      <c r="X93" s="38"/>
      <c r="Y93" s="37"/>
      <c r="Z93" s="40"/>
      <c r="AA93" s="37"/>
      <c r="AB93" s="40"/>
      <c r="AC93" s="296"/>
      <c r="AD93" s="373"/>
      <c r="AE93" s="306" t="str">
        <f t="shared" si="41"/>
        <v/>
      </c>
      <c r="AF93" s="376"/>
    </row>
    <row r="94" spans="1:32" ht="15.95" customHeight="1" x14ac:dyDescent="0.25">
      <c r="A94" s="302" t="str">
        <f t="shared" si="44"/>
        <v/>
      </c>
      <c r="B94" s="304" t="str">
        <f t="shared" si="42"/>
        <v/>
      </c>
      <c r="C94" s="285"/>
      <c r="D94" s="352"/>
      <c r="E94" s="33"/>
      <c r="F94" s="34"/>
      <c r="G94" s="355"/>
      <c r="H94" s="359"/>
      <c r="I94" s="265"/>
      <c r="J94" s="266"/>
      <c r="K94" s="363"/>
      <c r="L94" s="367"/>
      <c r="M94" s="256"/>
      <c r="N94" s="257"/>
      <c r="O94" s="262"/>
      <c r="P94" s="244"/>
      <c r="Q94" s="39"/>
      <c r="R94" s="38"/>
      <c r="S94" s="37"/>
      <c r="T94" s="38"/>
      <c r="U94" s="37"/>
      <c r="V94" s="38"/>
      <c r="W94" s="37"/>
      <c r="X94" s="38"/>
      <c r="Y94" s="37"/>
      <c r="Z94" s="40"/>
      <c r="AA94" s="37"/>
      <c r="AB94" s="40"/>
      <c r="AC94" s="296"/>
      <c r="AD94" s="373"/>
      <c r="AE94" s="306" t="str">
        <f t="shared" si="41"/>
        <v/>
      </c>
      <c r="AF94" s="376"/>
    </row>
    <row r="95" spans="1:32" ht="15.95" customHeight="1" x14ac:dyDescent="0.25">
      <c r="A95" s="302" t="str">
        <f t="shared" si="44"/>
        <v/>
      </c>
      <c r="B95" s="304" t="str">
        <f t="shared" si="42"/>
        <v/>
      </c>
      <c r="C95" s="285"/>
      <c r="D95" s="352"/>
      <c r="E95" s="33"/>
      <c r="F95" s="34"/>
      <c r="G95" s="355"/>
      <c r="H95" s="359"/>
      <c r="I95" s="265"/>
      <c r="J95" s="266"/>
      <c r="K95" s="363"/>
      <c r="L95" s="367"/>
      <c r="M95" s="256"/>
      <c r="N95" s="257"/>
      <c r="O95" s="262"/>
      <c r="P95" s="244"/>
      <c r="Q95" s="39"/>
      <c r="R95" s="38"/>
      <c r="S95" s="37"/>
      <c r="T95" s="38"/>
      <c r="U95" s="37"/>
      <c r="V95" s="38"/>
      <c r="W95" s="37"/>
      <c r="X95" s="38"/>
      <c r="Y95" s="37"/>
      <c r="Z95" s="40"/>
      <c r="AA95" s="37"/>
      <c r="AB95" s="40"/>
      <c r="AC95" s="296"/>
      <c r="AD95" s="373"/>
      <c r="AE95" s="306" t="str">
        <f t="shared" si="41"/>
        <v/>
      </c>
      <c r="AF95" s="376"/>
    </row>
    <row r="96" spans="1:32" ht="15.95" customHeight="1" x14ac:dyDescent="0.25">
      <c r="A96" s="302" t="str">
        <f t="shared" si="44"/>
        <v/>
      </c>
      <c r="B96" s="304" t="str">
        <f t="shared" si="42"/>
        <v/>
      </c>
      <c r="C96" s="285"/>
      <c r="D96" s="352"/>
      <c r="E96" s="33"/>
      <c r="F96" s="34"/>
      <c r="G96" s="355"/>
      <c r="H96" s="359"/>
      <c r="I96" s="265"/>
      <c r="J96" s="266"/>
      <c r="K96" s="363"/>
      <c r="L96" s="367"/>
      <c r="M96" s="256"/>
      <c r="N96" s="257"/>
      <c r="O96" s="262"/>
      <c r="P96" s="244"/>
      <c r="Q96" s="39"/>
      <c r="R96" s="38"/>
      <c r="S96" s="37"/>
      <c r="T96" s="38"/>
      <c r="U96" s="37"/>
      <c r="V96" s="38"/>
      <c r="W96" s="37"/>
      <c r="X96" s="38"/>
      <c r="Y96" s="37"/>
      <c r="Z96" s="40"/>
      <c r="AA96" s="37"/>
      <c r="AB96" s="40"/>
      <c r="AC96" s="296"/>
      <c r="AD96" s="373"/>
      <c r="AE96" s="306" t="str">
        <f t="shared" si="41"/>
        <v/>
      </c>
      <c r="AF96" s="376"/>
    </row>
    <row r="97" spans="1:32" ht="15.95" customHeight="1" x14ac:dyDescent="0.25">
      <c r="A97" s="302" t="str">
        <f t="shared" si="44"/>
        <v/>
      </c>
      <c r="B97" s="304" t="str">
        <f t="shared" si="42"/>
        <v/>
      </c>
      <c r="C97" s="285"/>
      <c r="D97" s="352"/>
      <c r="E97" s="33"/>
      <c r="F97" s="34"/>
      <c r="G97" s="355"/>
      <c r="H97" s="359"/>
      <c r="I97" s="265"/>
      <c r="J97" s="266"/>
      <c r="K97" s="363"/>
      <c r="L97" s="367"/>
      <c r="M97" s="256"/>
      <c r="N97" s="257"/>
      <c r="O97" s="262"/>
      <c r="P97" s="244"/>
      <c r="Q97" s="39"/>
      <c r="R97" s="38"/>
      <c r="S97" s="37"/>
      <c r="T97" s="38"/>
      <c r="U97" s="37"/>
      <c r="V97" s="38"/>
      <c r="W97" s="37"/>
      <c r="X97" s="38"/>
      <c r="Y97" s="37"/>
      <c r="Z97" s="40"/>
      <c r="AA97" s="37"/>
      <c r="AB97" s="40"/>
      <c r="AC97" s="296"/>
      <c r="AD97" s="373"/>
      <c r="AE97" s="306" t="str">
        <f t="shared" si="41"/>
        <v/>
      </c>
      <c r="AF97" s="376"/>
    </row>
    <row r="98" spans="1:32" ht="15.95" customHeight="1" x14ac:dyDescent="0.25">
      <c r="A98" s="302" t="str">
        <f t="shared" si="44"/>
        <v/>
      </c>
      <c r="B98" s="304" t="str">
        <f t="shared" si="42"/>
        <v/>
      </c>
      <c r="C98" s="285"/>
      <c r="D98" s="352"/>
      <c r="E98" s="33"/>
      <c r="F98" s="34"/>
      <c r="G98" s="355"/>
      <c r="H98" s="359"/>
      <c r="I98" s="265"/>
      <c r="J98" s="266"/>
      <c r="K98" s="363"/>
      <c r="L98" s="367"/>
      <c r="M98" s="256"/>
      <c r="N98" s="257"/>
      <c r="O98" s="262"/>
      <c r="P98" s="244"/>
      <c r="Q98" s="39"/>
      <c r="R98" s="38"/>
      <c r="S98" s="37"/>
      <c r="T98" s="38"/>
      <c r="U98" s="37"/>
      <c r="V98" s="38"/>
      <c r="W98" s="37"/>
      <c r="X98" s="38"/>
      <c r="Y98" s="37"/>
      <c r="Z98" s="40"/>
      <c r="AA98" s="37"/>
      <c r="AB98" s="40"/>
      <c r="AC98" s="296"/>
      <c r="AD98" s="373"/>
      <c r="AE98" s="306" t="str">
        <f t="shared" si="41"/>
        <v/>
      </c>
      <c r="AF98" s="376"/>
    </row>
    <row r="99" spans="1:32" ht="15.95" customHeight="1" x14ac:dyDescent="0.25">
      <c r="A99" s="302" t="str">
        <f t="shared" si="44"/>
        <v/>
      </c>
      <c r="B99" s="304" t="str">
        <f t="shared" si="42"/>
        <v/>
      </c>
      <c r="C99" s="285"/>
      <c r="D99" s="352"/>
      <c r="E99" s="33"/>
      <c r="F99" s="34"/>
      <c r="G99" s="355"/>
      <c r="H99" s="359"/>
      <c r="I99" s="265"/>
      <c r="J99" s="266"/>
      <c r="K99" s="363"/>
      <c r="L99" s="367"/>
      <c r="M99" s="256"/>
      <c r="N99" s="257"/>
      <c r="O99" s="262"/>
      <c r="P99" s="244"/>
      <c r="Q99" s="39"/>
      <c r="R99" s="38"/>
      <c r="S99" s="37"/>
      <c r="T99" s="38"/>
      <c r="U99" s="37"/>
      <c r="V99" s="38"/>
      <c r="W99" s="37"/>
      <c r="X99" s="38"/>
      <c r="Y99" s="37"/>
      <c r="Z99" s="40"/>
      <c r="AA99" s="37"/>
      <c r="AB99" s="40"/>
      <c r="AC99" s="296"/>
      <c r="AD99" s="373"/>
      <c r="AE99" s="306" t="str">
        <f t="shared" si="41"/>
        <v/>
      </c>
      <c r="AF99" s="376"/>
    </row>
    <row r="100" spans="1:32" ht="15.95" customHeight="1" x14ac:dyDescent="0.25">
      <c r="A100" s="302" t="str">
        <f t="shared" si="44"/>
        <v/>
      </c>
      <c r="B100" s="304" t="str">
        <f t="shared" si="42"/>
        <v/>
      </c>
      <c r="C100" s="285"/>
      <c r="D100" s="352"/>
      <c r="E100" s="33"/>
      <c r="F100" s="34"/>
      <c r="G100" s="355"/>
      <c r="H100" s="359"/>
      <c r="I100" s="265"/>
      <c r="J100" s="266"/>
      <c r="K100" s="363"/>
      <c r="L100" s="367"/>
      <c r="M100" s="256"/>
      <c r="N100" s="257"/>
      <c r="O100" s="262"/>
      <c r="P100" s="244"/>
      <c r="Q100" s="39"/>
      <c r="R100" s="38"/>
      <c r="S100" s="37"/>
      <c r="T100" s="38"/>
      <c r="U100" s="37"/>
      <c r="V100" s="38"/>
      <c r="W100" s="37"/>
      <c r="X100" s="38"/>
      <c r="Y100" s="37"/>
      <c r="Z100" s="40"/>
      <c r="AA100" s="37"/>
      <c r="AB100" s="40"/>
      <c r="AC100" s="296"/>
      <c r="AD100" s="373"/>
      <c r="AE100" s="306" t="str">
        <f t="shared" si="41"/>
        <v/>
      </c>
      <c r="AF100" s="376"/>
    </row>
    <row r="101" spans="1:32" ht="15.95" customHeight="1" x14ac:dyDescent="0.25">
      <c r="A101" s="302" t="str">
        <f t="shared" si="44"/>
        <v/>
      </c>
      <c r="B101" s="304" t="str">
        <f t="shared" si="42"/>
        <v/>
      </c>
      <c r="C101" s="285"/>
      <c r="D101" s="352"/>
      <c r="E101" s="33"/>
      <c r="F101" s="34"/>
      <c r="G101" s="355"/>
      <c r="H101" s="359"/>
      <c r="I101" s="265"/>
      <c r="J101" s="266"/>
      <c r="K101" s="363"/>
      <c r="L101" s="367"/>
      <c r="M101" s="256"/>
      <c r="N101" s="257"/>
      <c r="O101" s="262"/>
      <c r="P101" s="244"/>
      <c r="Q101" s="39"/>
      <c r="R101" s="38"/>
      <c r="S101" s="37"/>
      <c r="T101" s="38"/>
      <c r="U101" s="37"/>
      <c r="V101" s="38"/>
      <c r="W101" s="37"/>
      <c r="X101" s="38"/>
      <c r="Y101" s="37"/>
      <c r="Z101" s="40"/>
      <c r="AA101" s="37"/>
      <c r="AB101" s="40"/>
      <c r="AC101" s="296"/>
      <c r="AD101" s="373"/>
      <c r="AE101" s="306" t="str">
        <f t="shared" si="41"/>
        <v/>
      </c>
      <c r="AF101" s="376"/>
    </row>
    <row r="102" spans="1:32" ht="15.95" customHeight="1" x14ac:dyDescent="0.25">
      <c r="A102" s="302" t="str">
        <f t="shared" si="44"/>
        <v/>
      </c>
      <c r="B102" s="304" t="str">
        <f t="shared" si="42"/>
        <v/>
      </c>
      <c r="C102" s="285"/>
      <c r="D102" s="352"/>
      <c r="E102" s="33"/>
      <c r="F102" s="34"/>
      <c r="G102" s="355"/>
      <c r="H102" s="359"/>
      <c r="I102" s="265"/>
      <c r="J102" s="266"/>
      <c r="K102" s="363"/>
      <c r="L102" s="367"/>
      <c r="M102" s="256"/>
      <c r="N102" s="257"/>
      <c r="O102" s="262"/>
      <c r="P102" s="244"/>
      <c r="Q102" s="39"/>
      <c r="R102" s="38"/>
      <c r="S102" s="37"/>
      <c r="T102" s="38"/>
      <c r="U102" s="37"/>
      <c r="V102" s="38"/>
      <c r="W102" s="37"/>
      <c r="X102" s="38"/>
      <c r="Y102" s="37"/>
      <c r="Z102" s="40"/>
      <c r="AA102" s="37"/>
      <c r="AB102" s="40"/>
      <c r="AC102" s="296"/>
      <c r="AD102" s="373"/>
      <c r="AE102" s="306" t="str">
        <f t="shared" si="41"/>
        <v/>
      </c>
      <c r="AF102" s="376"/>
    </row>
    <row r="103" spans="1:32" ht="15.95" customHeight="1" x14ac:dyDescent="0.25">
      <c r="A103" s="302" t="str">
        <f t="shared" si="44"/>
        <v/>
      </c>
      <c r="B103" s="304" t="str">
        <f t="shared" si="42"/>
        <v/>
      </c>
      <c r="C103" s="285"/>
      <c r="D103" s="352"/>
      <c r="E103" s="33"/>
      <c r="F103" s="34"/>
      <c r="G103" s="355"/>
      <c r="H103" s="359"/>
      <c r="I103" s="265"/>
      <c r="J103" s="266"/>
      <c r="K103" s="363"/>
      <c r="L103" s="367"/>
      <c r="M103" s="256"/>
      <c r="N103" s="257"/>
      <c r="O103" s="262"/>
      <c r="P103" s="244"/>
      <c r="Q103" s="39"/>
      <c r="R103" s="38"/>
      <c r="S103" s="37"/>
      <c r="T103" s="38"/>
      <c r="U103" s="37"/>
      <c r="V103" s="38"/>
      <c r="W103" s="37"/>
      <c r="X103" s="38"/>
      <c r="Y103" s="37"/>
      <c r="Z103" s="40"/>
      <c r="AA103" s="37"/>
      <c r="AB103" s="40"/>
      <c r="AC103" s="296"/>
      <c r="AD103" s="373"/>
      <c r="AE103" s="306" t="str">
        <f t="shared" si="41"/>
        <v/>
      </c>
      <c r="AF103" s="376"/>
    </row>
    <row r="104" spans="1:32" ht="15.95" customHeight="1" x14ac:dyDescent="0.25">
      <c r="A104" s="302" t="str">
        <f t="shared" si="44"/>
        <v/>
      </c>
      <c r="B104" s="304" t="str">
        <f t="shared" si="42"/>
        <v/>
      </c>
      <c r="C104" s="285"/>
      <c r="D104" s="352"/>
      <c r="E104" s="33"/>
      <c r="F104" s="34"/>
      <c r="G104" s="355"/>
      <c r="H104" s="359"/>
      <c r="I104" s="265"/>
      <c r="J104" s="266"/>
      <c r="K104" s="363"/>
      <c r="L104" s="367"/>
      <c r="M104" s="256"/>
      <c r="N104" s="257"/>
      <c r="O104" s="262"/>
      <c r="P104" s="244"/>
      <c r="Q104" s="39"/>
      <c r="R104" s="38"/>
      <c r="S104" s="37"/>
      <c r="T104" s="38"/>
      <c r="U104" s="37"/>
      <c r="V104" s="38"/>
      <c r="W104" s="37"/>
      <c r="X104" s="38"/>
      <c r="Y104" s="37"/>
      <c r="Z104" s="40"/>
      <c r="AA104" s="37"/>
      <c r="AB104" s="40"/>
      <c r="AC104" s="296"/>
      <c r="AD104" s="373"/>
      <c r="AE104" s="306" t="str">
        <f t="shared" ref="AE104:AE169" si="45">IF(OR(UPPER(TRIM(B104))="EDE",UPPER(TRIM(A104))="EDE"),UPPER(C104),IF(C104&lt;&gt;"",A104&amp;B104&amp;IF(C104&lt;=9,"000"&amp;TEXT(C104,0),IF(C104&lt;=99,"00"&amp;TEXT(C104,0),IF(C104&lt;999,"0"&amp;TEXT(C104,0),TEXT(C104,0)))),""))</f>
        <v/>
      </c>
      <c r="AF104" s="376"/>
    </row>
    <row r="105" spans="1:32" ht="15.95" customHeight="1" x14ac:dyDescent="0.25">
      <c r="A105" s="302" t="str">
        <f t="shared" si="44"/>
        <v/>
      </c>
      <c r="B105" s="304" t="str">
        <f t="shared" si="42"/>
        <v/>
      </c>
      <c r="C105" s="285"/>
      <c r="D105" s="352"/>
      <c r="E105" s="33"/>
      <c r="F105" s="34"/>
      <c r="G105" s="355"/>
      <c r="H105" s="359"/>
      <c r="I105" s="265"/>
      <c r="J105" s="266"/>
      <c r="K105" s="363"/>
      <c r="L105" s="367"/>
      <c r="M105" s="256"/>
      <c r="N105" s="257"/>
      <c r="O105" s="262"/>
      <c r="P105" s="244"/>
      <c r="Q105" s="39"/>
      <c r="R105" s="38"/>
      <c r="S105" s="37"/>
      <c r="T105" s="38"/>
      <c r="U105" s="37"/>
      <c r="V105" s="38"/>
      <c r="W105" s="37"/>
      <c r="X105" s="38"/>
      <c r="Y105" s="37"/>
      <c r="Z105" s="40"/>
      <c r="AA105" s="37"/>
      <c r="AB105" s="40"/>
      <c r="AC105" s="296"/>
      <c r="AD105" s="373"/>
      <c r="AE105" s="306" t="str">
        <f t="shared" si="45"/>
        <v/>
      </c>
      <c r="AF105" s="376"/>
    </row>
    <row r="106" spans="1:32" ht="15.95" customHeight="1" x14ac:dyDescent="0.25">
      <c r="A106" s="302" t="str">
        <f t="shared" si="44"/>
        <v/>
      </c>
      <c r="B106" s="304" t="str">
        <f t="shared" si="42"/>
        <v/>
      </c>
      <c r="C106" s="285"/>
      <c r="D106" s="352"/>
      <c r="E106" s="33"/>
      <c r="F106" s="34"/>
      <c r="G106" s="355"/>
      <c r="H106" s="359"/>
      <c r="I106" s="265"/>
      <c r="J106" s="266"/>
      <c r="K106" s="363"/>
      <c r="L106" s="367"/>
      <c r="M106" s="256"/>
      <c r="N106" s="257"/>
      <c r="O106" s="262"/>
      <c r="P106" s="244"/>
      <c r="Q106" s="39"/>
      <c r="R106" s="38"/>
      <c r="S106" s="37"/>
      <c r="T106" s="38"/>
      <c r="U106" s="37"/>
      <c r="V106" s="38"/>
      <c r="W106" s="37"/>
      <c r="X106" s="38"/>
      <c r="Y106" s="37"/>
      <c r="Z106" s="40"/>
      <c r="AA106" s="37"/>
      <c r="AB106" s="40"/>
      <c r="AC106" s="296"/>
      <c r="AD106" s="373"/>
      <c r="AE106" s="306" t="str">
        <f t="shared" si="45"/>
        <v/>
      </c>
      <c r="AF106" s="376"/>
    </row>
    <row r="107" spans="1:32" ht="15.95" customHeight="1" x14ac:dyDescent="0.25">
      <c r="A107" s="302" t="str">
        <f t="shared" si="44"/>
        <v/>
      </c>
      <c r="B107" s="304" t="str">
        <f t="shared" si="42"/>
        <v/>
      </c>
      <c r="C107" s="285"/>
      <c r="D107" s="352"/>
      <c r="E107" s="33"/>
      <c r="F107" s="34"/>
      <c r="G107" s="355"/>
      <c r="H107" s="359"/>
      <c r="I107" s="265"/>
      <c r="J107" s="266"/>
      <c r="K107" s="363"/>
      <c r="L107" s="367"/>
      <c r="M107" s="256"/>
      <c r="N107" s="257"/>
      <c r="O107" s="262"/>
      <c r="P107" s="244"/>
      <c r="Q107" s="39"/>
      <c r="R107" s="38"/>
      <c r="S107" s="37"/>
      <c r="T107" s="38"/>
      <c r="U107" s="37"/>
      <c r="V107" s="38"/>
      <c r="W107" s="37"/>
      <c r="X107" s="38"/>
      <c r="Y107" s="37"/>
      <c r="Z107" s="40"/>
      <c r="AA107" s="37"/>
      <c r="AB107" s="40"/>
      <c r="AC107" s="296"/>
      <c r="AD107" s="373"/>
      <c r="AE107" s="306" t="str">
        <f t="shared" si="45"/>
        <v/>
      </c>
      <c r="AF107" s="376"/>
    </row>
    <row r="108" spans="1:32" ht="15.95" customHeight="1" x14ac:dyDescent="0.25">
      <c r="A108" s="302" t="str">
        <f t="shared" si="44"/>
        <v/>
      </c>
      <c r="B108" s="304" t="str">
        <f t="shared" si="42"/>
        <v/>
      </c>
      <c r="C108" s="285"/>
      <c r="D108" s="352"/>
      <c r="E108" s="33"/>
      <c r="F108" s="34"/>
      <c r="G108" s="355"/>
      <c r="H108" s="359"/>
      <c r="I108" s="265"/>
      <c r="J108" s="266"/>
      <c r="K108" s="363"/>
      <c r="L108" s="367"/>
      <c r="M108" s="256"/>
      <c r="N108" s="257"/>
      <c r="O108" s="262"/>
      <c r="P108" s="244"/>
      <c r="Q108" s="39"/>
      <c r="R108" s="38"/>
      <c r="S108" s="37"/>
      <c r="T108" s="38"/>
      <c r="U108" s="37"/>
      <c r="V108" s="38"/>
      <c r="W108" s="37"/>
      <c r="X108" s="38"/>
      <c r="Y108" s="37"/>
      <c r="Z108" s="40"/>
      <c r="AA108" s="37"/>
      <c r="AB108" s="40"/>
      <c r="AC108" s="296"/>
      <c r="AD108" s="373"/>
      <c r="AE108" s="306" t="str">
        <f t="shared" si="45"/>
        <v/>
      </c>
      <c r="AF108" s="376"/>
    </row>
    <row r="109" spans="1:32" ht="15.95" customHeight="1" x14ac:dyDescent="0.25">
      <c r="A109" s="302" t="str">
        <f t="shared" si="44"/>
        <v/>
      </c>
      <c r="B109" s="304" t="str">
        <f t="shared" si="42"/>
        <v/>
      </c>
      <c r="C109" s="285"/>
      <c r="D109" s="352"/>
      <c r="E109" s="33"/>
      <c r="F109" s="34"/>
      <c r="G109" s="355"/>
      <c r="H109" s="359"/>
      <c r="I109" s="265"/>
      <c r="J109" s="266"/>
      <c r="K109" s="363"/>
      <c r="L109" s="367"/>
      <c r="M109" s="256"/>
      <c r="N109" s="257"/>
      <c r="O109" s="262"/>
      <c r="P109" s="244"/>
      <c r="Q109" s="39"/>
      <c r="R109" s="38"/>
      <c r="S109" s="37"/>
      <c r="T109" s="38"/>
      <c r="U109" s="37"/>
      <c r="V109" s="38"/>
      <c r="W109" s="37"/>
      <c r="X109" s="38"/>
      <c r="Y109" s="37"/>
      <c r="Z109" s="40"/>
      <c r="AA109" s="37"/>
      <c r="AB109" s="40"/>
      <c r="AC109" s="296"/>
      <c r="AD109" s="373"/>
      <c r="AE109" s="306" t="str">
        <f t="shared" si="45"/>
        <v/>
      </c>
      <c r="AF109" s="376"/>
    </row>
    <row r="110" spans="1:32" ht="15.95" customHeight="1" x14ac:dyDescent="0.25">
      <c r="A110" s="302" t="str">
        <f t="shared" si="44"/>
        <v/>
      </c>
      <c r="B110" s="304" t="str">
        <f t="shared" si="42"/>
        <v/>
      </c>
      <c r="C110" s="285"/>
      <c r="D110" s="352"/>
      <c r="E110" s="33"/>
      <c r="F110" s="34"/>
      <c r="G110" s="355"/>
      <c r="H110" s="359"/>
      <c r="I110" s="265"/>
      <c r="J110" s="266"/>
      <c r="K110" s="363"/>
      <c r="L110" s="367"/>
      <c r="M110" s="256"/>
      <c r="N110" s="257"/>
      <c r="O110" s="262"/>
      <c r="P110" s="244"/>
      <c r="Q110" s="39"/>
      <c r="R110" s="38"/>
      <c r="S110" s="37"/>
      <c r="T110" s="38"/>
      <c r="U110" s="37"/>
      <c r="V110" s="38"/>
      <c r="W110" s="37"/>
      <c r="X110" s="38"/>
      <c r="Y110" s="37"/>
      <c r="Z110" s="40"/>
      <c r="AA110" s="37"/>
      <c r="AB110" s="40"/>
      <c r="AC110" s="296"/>
      <c r="AD110" s="373"/>
      <c r="AE110" s="306" t="str">
        <f t="shared" si="45"/>
        <v/>
      </c>
      <c r="AF110" s="376"/>
    </row>
    <row r="111" spans="1:32" ht="15.95" customHeight="1" x14ac:dyDescent="0.25">
      <c r="A111" s="302" t="str">
        <f t="shared" si="44"/>
        <v/>
      </c>
      <c r="B111" s="304" t="str">
        <f t="shared" si="42"/>
        <v/>
      </c>
      <c r="C111" s="285"/>
      <c r="D111" s="352"/>
      <c r="E111" s="33"/>
      <c r="F111" s="34"/>
      <c r="G111" s="355"/>
      <c r="H111" s="359"/>
      <c r="I111" s="265"/>
      <c r="J111" s="266"/>
      <c r="K111" s="363"/>
      <c r="L111" s="367"/>
      <c r="M111" s="256"/>
      <c r="N111" s="257"/>
      <c r="O111" s="262"/>
      <c r="P111" s="244"/>
      <c r="Q111" s="39"/>
      <c r="R111" s="38"/>
      <c r="S111" s="37"/>
      <c r="T111" s="38"/>
      <c r="U111" s="37"/>
      <c r="V111" s="38"/>
      <c r="W111" s="37"/>
      <c r="X111" s="38"/>
      <c r="Y111" s="37"/>
      <c r="Z111" s="40"/>
      <c r="AA111" s="37"/>
      <c r="AB111" s="40"/>
      <c r="AC111" s="296"/>
      <c r="AD111" s="373"/>
      <c r="AE111" s="306" t="str">
        <f t="shared" si="45"/>
        <v/>
      </c>
      <c r="AF111" s="376"/>
    </row>
    <row r="112" spans="1:32" ht="15.95" customHeight="1" x14ac:dyDescent="0.25">
      <c r="A112" s="302" t="str">
        <f t="shared" si="44"/>
        <v/>
      </c>
      <c r="B112" s="304" t="str">
        <f t="shared" si="42"/>
        <v/>
      </c>
      <c r="C112" s="285"/>
      <c r="D112" s="352"/>
      <c r="E112" s="33"/>
      <c r="F112" s="34"/>
      <c r="G112" s="355"/>
      <c r="H112" s="359"/>
      <c r="I112" s="265"/>
      <c r="J112" s="266"/>
      <c r="K112" s="363"/>
      <c r="L112" s="367"/>
      <c r="M112" s="256"/>
      <c r="N112" s="257"/>
      <c r="O112" s="262"/>
      <c r="P112" s="244"/>
      <c r="Q112" s="39"/>
      <c r="R112" s="38"/>
      <c r="S112" s="37"/>
      <c r="T112" s="38"/>
      <c r="U112" s="37"/>
      <c r="V112" s="38"/>
      <c r="W112" s="37"/>
      <c r="X112" s="38"/>
      <c r="Y112" s="37"/>
      <c r="Z112" s="40"/>
      <c r="AA112" s="37"/>
      <c r="AB112" s="40"/>
      <c r="AC112" s="296"/>
      <c r="AD112" s="373"/>
      <c r="AE112" s="306" t="str">
        <f t="shared" si="45"/>
        <v/>
      </c>
      <c r="AF112" s="376"/>
    </row>
    <row r="113" spans="1:32" ht="15.95" customHeight="1" x14ac:dyDescent="0.25">
      <c r="A113" s="302" t="str">
        <f t="shared" ref="A113:A146" si="46">IF(C113&lt;&gt;"",dwgnoprefix,"")</f>
        <v/>
      </c>
      <c r="B113" s="304" t="str">
        <f t="shared" ref="B113:B178" si="47">IF(C113&lt;&gt;"", dwgdelimiter,"")</f>
        <v/>
      </c>
      <c r="C113" s="285"/>
      <c r="D113" s="352"/>
      <c r="E113" s="33"/>
      <c r="F113" s="34"/>
      <c r="G113" s="355"/>
      <c r="H113" s="359"/>
      <c r="I113" s="265"/>
      <c r="J113" s="266"/>
      <c r="K113" s="363"/>
      <c r="L113" s="367"/>
      <c r="M113" s="256"/>
      <c r="N113" s="257"/>
      <c r="O113" s="262"/>
      <c r="P113" s="244"/>
      <c r="Q113" s="39"/>
      <c r="R113" s="38"/>
      <c r="S113" s="37"/>
      <c r="T113" s="38"/>
      <c r="U113" s="37"/>
      <c r="V113" s="38"/>
      <c r="W113" s="37"/>
      <c r="X113" s="38"/>
      <c r="Y113" s="37"/>
      <c r="Z113" s="40"/>
      <c r="AA113" s="37"/>
      <c r="AB113" s="40"/>
      <c r="AC113" s="296"/>
      <c r="AD113" s="373"/>
      <c r="AE113" s="306" t="str">
        <f t="shared" si="45"/>
        <v/>
      </c>
      <c r="AF113" s="376"/>
    </row>
    <row r="114" spans="1:32" ht="15.95" customHeight="1" x14ac:dyDescent="0.25">
      <c r="A114" s="302" t="str">
        <f t="shared" si="46"/>
        <v/>
      </c>
      <c r="B114" s="304" t="str">
        <f t="shared" si="47"/>
        <v/>
      </c>
      <c r="C114" s="285"/>
      <c r="D114" s="352"/>
      <c r="E114" s="33"/>
      <c r="F114" s="34"/>
      <c r="G114" s="355"/>
      <c r="H114" s="359"/>
      <c r="I114" s="265"/>
      <c r="J114" s="266"/>
      <c r="K114" s="363"/>
      <c r="L114" s="367"/>
      <c r="M114" s="256"/>
      <c r="N114" s="257"/>
      <c r="O114" s="262"/>
      <c r="P114" s="244"/>
      <c r="Q114" s="39"/>
      <c r="R114" s="38"/>
      <c r="S114" s="37"/>
      <c r="T114" s="38"/>
      <c r="U114" s="37"/>
      <c r="V114" s="38"/>
      <c r="W114" s="37"/>
      <c r="X114" s="38"/>
      <c r="Y114" s="37"/>
      <c r="Z114" s="40"/>
      <c r="AA114" s="37"/>
      <c r="AB114" s="40"/>
      <c r="AC114" s="296"/>
      <c r="AD114" s="373"/>
      <c r="AE114" s="306" t="str">
        <f t="shared" si="45"/>
        <v/>
      </c>
      <c r="AF114" s="376"/>
    </row>
    <row r="115" spans="1:32" ht="15.95" customHeight="1" x14ac:dyDescent="0.25">
      <c r="A115" s="302" t="str">
        <f t="shared" si="46"/>
        <v/>
      </c>
      <c r="B115" s="304" t="str">
        <f t="shared" si="47"/>
        <v/>
      </c>
      <c r="C115" s="285"/>
      <c r="D115" s="352"/>
      <c r="E115" s="33"/>
      <c r="F115" s="34"/>
      <c r="G115" s="355"/>
      <c r="H115" s="359"/>
      <c r="I115" s="265"/>
      <c r="J115" s="266"/>
      <c r="K115" s="363"/>
      <c r="L115" s="367"/>
      <c r="M115" s="256"/>
      <c r="N115" s="257"/>
      <c r="O115" s="262"/>
      <c r="P115" s="244"/>
      <c r="Q115" s="39"/>
      <c r="R115" s="38"/>
      <c r="S115" s="37"/>
      <c r="T115" s="38"/>
      <c r="U115" s="37"/>
      <c r="V115" s="38"/>
      <c r="W115" s="37"/>
      <c r="X115" s="38"/>
      <c r="Y115" s="37"/>
      <c r="Z115" s="40"/>
      <c r="AA115" s="41"/>
      <c r="AB115" s="42"/>
      <c r="AC115" s="296"/>
      <c r="AD115" s="373"/>
      <c r="AE115" s="306" t="str">
        <f t="shared" si="45"/>
        <v/>
      </c>
      <c r="AF115" s="376"/>
    </row>
    <row r="116" spans="1:32" ht="15.95" customHeight="1" x14ac:dyDescent="0.25">
      <c r="A116" s="302" t="str">
        <f t="shared" si="46"/>
        <v/>
      </c>
      <c r="B116" s="304" t="str">
        <f t="shared" si="47"/>
        <v/>
      </c>
      <c r="C116" s="285"/>
      <c r="D116" s="352"/>
      <c r="E116" s="33"/>
      <c r="F116" s="34"/>
      <c r="G116" s="355"/>
      <c r="H116" s="359"/>
      <c r="I116" s="265"/>
      <c r="J116" s="266"/>
      <c r="K116" s="363"/>
      <c r="L116" s="367"/>
      <c r="M116" s="256"/>
      <c r="N116" s="257"/>
      <c r="O116" s="262"/>
      <c r="P116" s="244"/>
      <c r="Q116" s="39"/>
      <c r="R116" s="38"/>
      <c r="S116" s="37"/>
      <c r="T116" s="38"/>
      <c r="U116" s="37"/>
      <c r="V116" s="38"/>
      <c r="W116" s="37"/>
      <c r="X116" s="38"/>
      <c r="Y116" s="37"/>
      <c r="Z116" s="40"/>
      <c r="AA116" s="41"/>
      <c r="AB116" s="42"/>
      <c r="AC116" s="296"/>
      <c r="AD116" s="373"/>
      <c r="AE116" s="306" t="str">
        <f t="shared" si="45"/>
        <v/>
      </c>
      <c r="AF116" s="376"/>
    </row>
    <row r="117" spans="1:32" ht="15.95" customHeight="1" x14ac:dyDescent="0.25">
      <c r="A117" s="302" t="str">
        <f t="shared" si="46"/>
        <v/>
      </c>
      <c r="B117" s="304" t="str">
        <f t="shared" si="47"/>
        <v/>
      </c>
      <c r="C117" s="285"/>
      <c r="D117" s="352"/>
      <c r="E117" s="33"/>
      <c r="F117" s="34"/>
      <c r="G117" s="355"/>
      <c r="H117" s="359"/>
      <c r="I117" s="265"/>
      <c r="J117" s="266"/>
      <c r="K117" s="363"/>
      <c r="L117" s="367"/>
      <c r="M117" s="256"/>
      <c r="N117" s="257"/>
      <c r="O117" s="262"/>
      <c r="P117" s="244"/>
      <c r="Q117" s="39"/>
      <c r="R117" s="38"/>
      <c r="S117" s="37"/>
      <c r="T117" s="38"/>
      <c r="U117" s="37"/>
      <c r="V117" s="38"/>
      <c r="W117" s="37"/>
      <c r="X117" s="38"/>
      <c r="Y117" s="37"/>
      <c r="Z117" s="40"/>
      <c r="AA117" s="41"/>
      <c r="AB117" s="42"/>
      <c r="AC117" s="296"/>
      <c r="AD117" s="373"/>
      <c r="AE117" s="306" t="str">
        <f t="shared" si="45"/>
        <v/>
      </c>
      <c r="AF117" s="376"/>
    </row>
    <row r="118" spans="1:32" ht="15.95" customHeight="1" x14ac:dyDescent="0.25">
      <c r="A118" s="302" t="str">
        <f t="shared" si="46"/>
        <v/>
      </c>
      <c r="B118" s="304" t="str">
        <f t="shared" si="47"/>
        <v/>
      </c>
      <c r="C118" s="285"/>
      <c r="D118" s="352"/>
      <c r="E118" s="33"/>
      <c r="F118" s="34"/>
      <c r="G118" s="355"/>
      <c r="H118" s="359"/>
      <c r="I118" s="265"/>
      <c r="J118" s="266"/>
      <c r="K118" s="363"/>
      <c r="L118" s="367"/>
      <c r="M118" s="256"/>
      <c r="N118" s="257"/>
      <c r="O118" s="262"/>
      <c r="P118" s="244"/>
      <c r="Q118" s="39"/>
      <c r="R118" s="38"/>
      <c r="S118" s="37"/>
      <c r="T118" s="38"/>
      <c r="U118" s="37"/>
      <c r="V118" s="38"/>
      <c r="W118" s="37"/>
      <c r="X118" s="38"/>
      <c r="Y118" s="37"/>
      <c r="Z118" s="40"/>
      <c r="AA118" s="41"/>
      <c r="AB118" s="42"/>
      <c r="AC118" s="296"/>
      <c r="AD118" s="373"/>
      <c r="AE118" s="306" t="str">
        <f t="shared" si="45"/>
        <v/>
      </c>
      <c r="AF118" s="376"/>
    </row>
    <row r="119" spans="1:32" ht="15.95" customHeight="1" x14ac:dyDescent="0.25">
      <c r="A119" s="302" t="str">
        <f t="shared" si="46"/>
        <v/>
      </c>
      <c r="B119" s="304" t="str">
        <f t="shared" si="47"/>
        <v/>
      </c>
      <c r="C119" s="285"/>
      <c r="D119" s="352"/>
      <c r="E119" s="33"/>
      <c r="F119" s="34"/>
      <c r="G119" s="355"/>
      <c r="H119" s="359"/>
      <c r="I119" s="265"/>
      <c r="J119" s="266"/>
      <c r="K119" s="363"/>
      <c r="L119" s="367"/>
      <c r="M119" s="256"/>
      <c r="N119" s="257"/>
      <c r="O119" s="262"/>
      <c r="P119" s="244"/>
      <c r="Q119" s="39"/>
      <c r="R119" s="38"/>
      <c r="S119" s="37"/>
      <c r="T119" s="38"/>
      <c r="U119" s="37"/>
      <c r="V119" s="38"/>
      <c r="W119" s="37"/>
      <c r="X119" s="38"/>
      <c r="Y119" s="37"/>
      <c r="Z119" s="40"/>
      <c r="AA119" s="41"/>
      <c r="AB119" s="42"/>
      <c r="AC119" s="296"/>
      <c r="AD119" s="373"/>
      <c r="AE119" s="306" t="str">
        <f t="shared" si="45"/>
        <v/>
      </c>
      <c r="AF119" s="376"/>
    </row>
    <row r="120" spans="1:32" ht="15.95" customHeight="1" x14ac:dyDescent="0.25">
      <c r="A120" s="302" t="str">
        <f t="shared" si="46"/>
        <v/>
      </c>
      <c r="B120" s="304" t="str">
        <f t="shared" si="47"/>
        <v/>
      </c>
      <c r="C120" s="285"/>
      <c r="D120" s="352"/>
      <c r="E120" s="33"/>
      <c r="F120" s="34"/>
      <c r="G120" s="355"/>
      <c r="H120" s="359"/>
      <c r="I120" s="265"/>
      <c r="J120" s="266"/>
      <c r="K120" s="363"/>
      <c r="L120" s="367"/>
      <c r="M120" s="256"/>
      <c r="N120" s="257"/>
      <c r="O120" s="262"/>
      <c r="P120" s="244"/>
      <c r="Q120" s="39"/>
      <c r="R120" s="38"/>
      <c r="S120" s="37"/>
      <c r="T120" s="38"/>
      <c r="U120" s="37"/>
      <c r="V120" s="38"/>
      <c r="W120" s="37"/>
      <c r="X120" s="38"/>
      <c r="Y120" s="37"/>
      <c r="Z120" s="40"/>
      <c r="AA120" s="41"/>
      <c r="AB120" s="42"/>
      <c r="AC120" s="296"/>
      <c r="AD120" s="373"/>
      <c r="AE120" s="306" t="str">
        <f t="shared" si="45"/>
        <v/>
      </c>
      <c r="AF120" s="376"/>
    </row>
    <row r="121" spans="1:32" ht="15.95" customHeight="1" x14ac:dyDescent="0.25">
      <c r="A121" s="302" t="str">
        <f t="shared" si="46"/>
        <v/>
      </c>
      <c r="B121" s="304" t="str">
        <f t="shared" si="47"/>
        <v/>
      </c>
      <c r="C121" s="285"/>
      <c r="D121" s="352"/>
      <c r="E121" s="33"/>
      <c r="F121" s="34"/>
      <c r="G121" s="355"/>
      <c r="H121" s="359"/>
      <c r="I121" s="265"/>
      <c r="J121" s="266"/>
      <c r="K121" s="363"/>
      <c r="L121" s="367"/>
      <c r="M121" s="256"/>
      <c r="N121" s="257"/>
      <c r="O121" s="262"/>
      <c r="P121" s="244"/>
      <c r="Q121" s="39"/>
      <c r="R121" s="38"/>
      <c r="S121" s="37"/>
      <c r="T121" s="38"/>
      <c r="U121" s="37"/>
      <c r="V121" s="38"/>
      <c r="W121" s="37"/>
      <c r="X121" s="38"/>
      <c r="Y121" s="37"/>
      <c r="Z121" s="40"/>
      <c r="AA121" s="41"/>
      <c r="AB121" s="42"/>
      <c r="AC121" s="296"/>
      <c r="AD121" s="373"/>
      <c r="AE121" s="306" t="str">
        <f t="shared" si="45"/>
        <v/>
      </c>
      <c r="AF121" s="376"/>
    </row>
    <row r="122" spans="1:32" ht="15.95" customHeight="1" x14ac:dyDescent="0.25">
      <c r="A122" s="302" t="str">
        <f t="shared" si="46"/>
        <v/>
      </c>
      <c r="B122" s="304" t="str">
        <f t="shared" si="47"/>
        <v/>
      </c>
      <c r="C122" s="285"/>
      <c r="D122" s="352"/>
      <c r="E122" s="33"/>
      <c r="F122" s="34"/>
      <c r="G122" s="355"/>
      <c r="H122" s="359"/>
      <c r="I122" s="265"/>
      <c r="J122" s="266"/>
      <c r="K122" s="363"/>
      <c r="L122" s="367"/>
      <c r="M122" s="256"/>
      <c r="N122" s="257"/>
      <c r="O122" s="262"/>
      <c r="P122" s="244"/>
      <c r="Q122" s="39"/>
      <c r="R122" s="38"/>
      <c r="S122" s="37"/>
      <c r="T122" s="38"/>
      <c r="U122" s="37"/>
      <c r="V122" s="38"/>
      <c r="W122" s="37"/>
      <c r="X122" s="38"/>
      <c r="Y122" s="37"/>
      <c r="Z122" s="40"/>
      <c r="AA122" s="41"/>
      <c r="AB122" s="42"/>
      <c r="AC122" s="296"/>
      <c r="AD122" s="373"/>
      <c r="AE122" s="306" t="str">
        <f t="shared" si="45"/>
        <v/>
      </c>
      <c r="AF122" s="376"/>
    </row>
    <row r="123" spans="1:32" ht="15.95" customHeight="1" x14ac:dyDescent="0.25">
      <c r="A123" s="302" t="str">
        <f t="shared" si="46"/>
        <v/>
      </c>
      <c r="B123" s="304" t="str">
        <f t="shared" si="47"/>
        <v/>
      </c>
      <c r="C123" s="285"/>
      <c r="D123" s="352"/>
      <c r="E123" s="33"/>
      <c r="F123" s="34"/>
      <c r="G123" s="355"/>
      <c r="H123" s="359"/>
      <c r="I123" s="265"/>
      <c r="J123" s="266"/>
      <c r="K123" s="363"/>
      <c r="L123" s="367"/>
      <c r="M123" s="256"/>
      <c r="N123" s="257"/>
      <c r="O123" s="262"/>
      <c r="P123" s="244"/>
      <c r="Q123" s="39"/>
      <c r="R123" s="38"/>
      <c r="S123" s="37"/>
      <c r="T123" s="38"/>
      <c r="U123" s="37"/>
      <c r="V123" s="38"/>
      <c r="W123" s="37"/>
      <c r="X123" s="38"/>
      <c r="Y123" s="37"/>
      <c r="Z123" s="40"/>
      <c r="AA123" s="41"/>
      <c r="AB123" s="42"/>
      <c r="AC123" s="296"/>
      <c r="AD123" s="373"/>
      <c r="AE123" s="306" t="str">
        <f t="shared" si="45"/>
        <v/>
      </c>
      <c r="AF123" s="376"/>
    </row>
    <row r="124" spans="1:32" ht="15.95" customHeight="1" x14ac:dyDescent="0.25">
      <c r="A124" s="302" t="str">
        <f t="shared" si="46"/>
        <v/>
      </c>
      <c r="B124" s="304" t="str">
        <f t="shared" si="47"/>
        <v/>
      </c>
      <c r="C124" s="285"/>
      <c r="D124" s="352"/>
      <c r="E124" s="33"/>
      <c r="F124" s="34"/>
      <c r="G124" s="355"/>
      <c r="H124" s="359"/>
      <c r="I124" s="265"/>
      <c r="J124" s="266"/>
      <c r="K124" s="363"/>
      <c r="L124" s="367"/>
      <c r="M124" s="256"/>
      <c r="N124" s="257"/>
      <c r="O124" s="262"/>
      <c r="P124" s="244"/>
      <c r="Q124" s="39"/>
      <c r="R124" s="38"/>
      <c r="S124" s="37"/>
      <c r="T124" s="38"/>
      <c r="U124" s="37"/>
      <c r="V124" s="38"/>
      <c r="W124" s="37"/>
      <c r="X124" s="38"/>
      <c r="Y124" s="37"/>
      <c r="Z124" s="40"/>
      <c r="AA124" s="41"/>
      <c r="AB124" s="42"/>
      <c r="AC124" s="296"/>
      <c r="AD124" s="373"/>
      <c r="AE124" s="306" t="str">
        <f t="shared" si="45"/>
        <v/>
      </c>
      <c r="AF124" s="376"/>
    </row>
    <row r="125" spans="1:32" ht="15.95" customHeight="1" x14ac:dyDescent="0.25">
      <c r="A125" s="302" t="str">
        <f t="shared" si="46"/>
        <v/>
      </c>
      <c r="B125" s="304" t="str">
        <f t="shared" si="47"/>
        <v/>
      </c>
      <c r="C125" s="285"/>
      <c r="D125" s="352"/>
      <c r="E125" s="33"/>
      <c r="F125" s="43"/>
      <c r="G125" s="355"/>
      <c r="H125" s="359"/>
      <c r="I125" s="267"/>
      <c r="J125" s="268"/>
      <c r="K125" s="365"/>
      <c r="L125" s="369"/>
      <c r="M125" s="260"/>
      <c r="N125" s="261"/>
      <c r="O125" s="264"/>
      <c r="P125" s="246"/>
      <c r="Q125" s="46"/>
      <c r="R125" s="45"/>
      <c r="S125" s="44"/>
      <c r="T125" s="45"/>
      <c r="U125" s="44"/>
      <c r="V125" s="45"/>
      <c r="W125" s="44"/>
      <c r="X125" s="45"/>
      <c r="Y125" s="44"/>
      <c r="Z125" s="47"/>
      <c r="AA125" s="48"/>
      <c r="AB125" s="49"/>
      <c r="AC125" s="296"/>
      <c r="AD125" s="373"/>
      <c r="AE125" s="306" t="str">
        <f t="shared" si="45"/>
        <v/>
      </c>
      <c r="AF125" s="376"/>
    </row>
    <row r="126" spans="1:32" x14ac:dyDescent="0.25">
      <c r="A126" s="302" t="str">
        <f t="shared" si="46"/>
        <v/>
      </c>
      <c r="B126" s="304" t="str">
        <f t="shared" si="47"/>
        <v/>
      </c>
      <c r="C126" s="285"/>
      <c r="D126" s="353"/>
      <c r="E126" s="33"/>
      <c r="F126" s="34"/>
      <c r="G126" s="355"/>
      <c r="H126" s="359"/>
      <c r="I126" s="265"/>
      <c r="J126" s="266"/>
      <c r="K126" s="363"/>
      <c r="L126" s="367"/>
      <c r="M126" s="276"/>
      <c r="N126" s="277"/>
      <c r="O126" s="278"/>
      <c r="P126" s="279"/>
      <c r="Q126" s="253"/>
      <c r="R126" s="51"/>
      <c r="S126" s="51"/>
      <c r="T126" s="51"/>
      <c r="U126" s="51"/>
      <c r="V126" s="51"/>
      <c r="W126" s="50"/>
      <c r="X126" s="50"/>
      <c r="Y126" s="50"/>
      <c r="Z126" s="50"/>
      <c r="AA126" s="50"/>
      <c r="AB126" s="52"/>
      <c r="AC126" s="296"/>
      <c r="AD126" s="373"/>
      <c r="AE126" s="306" t="str">
        <f t="shared" si="45"/>
        <v/>
      </c>
      <c r="AF126" s="376"/>
    </row>
    <row r="127" spans="1:32" x14ac:dyDescent="0.25">
      <c r="A127" s="302" t="str">
        <f t="shared" si="46"/>
        <v/>
      </c>
      <c r="B127" s="304" t="str">
        <f t="shared" si="47"/>
        <v/>
      </c>
      <c r="C127" s="285"/>
      <c r="D127" s="353"/>
      <c r="E127" s="33"/>
      <c r="F127" s="34"/>
      <c r="G127" s="355"/>
      <c r="H127" s="359"/>
      <c r="I127" s="265"/>
      <c r="J127" s="266"/>
      <c r="K127" s="363"/>
      <c r="L127" s="367"/>
      <c r="M127" s="276"/>
      <c r="N127" s="277"/>
      <c r="O127" s="278"/>
      <c r="P127" s="279"/>
      <c r="Q127" s="253"/>
      <c r="R127" s="51"/>
      <c r="S127" s="51"/>
      <c r="T127" s="51"/>
      <c r="U127" s="51"/>
      <c r="V127" s="51"/>
      <c r="W127" s="50"/>
      <c r="X127" s="50"/>
      <c r="Y127" s="50"/>
      <c r="Z127" s="50"/>
      <c r="AA127" s="50"/>
      <c r="AB127" s="52"/>
      <c r="AC127" s="296"/>
      <c r="AD127" s="373"/>
      <c r="AE127" s="306" t="str">
        <f t="shared" si="45"/>
        <v/>
      </c>
      <c r="AF127" s="376"/>
    </row>
    <row r="128" spans="1:32" x14ac:dyDescent="0.25">
      <c r="A128" s="302" t="str">
        <f t="shared" si="46"/>
        <v/>
      </c>
      <c r="B128" s="304" t="str">
        <f t="shared" si="47"/>
        <v/>
      </c>
      <c r="C128" s="285"/>
      <c r="D128" s="353"/>
      <c r="E128" s="33"/>
      <c r="F128" s="34"/>
      <c r="G128" s="355"/>
      <c r="H128" s="359"/>
      <c r="I128" s="265"/>
      <c r="J128" s="266"/>
      <c r="K128" s="363"/>
      <c r="L128" s="367"/>
      <c r="M128" s="276"/>
      <c r="N128" s="277"/>
      <c r="O128" s="278"/>
      <c r="P128" s="279"/>
      <c r="Q128" s="253"/>
      <c r="R128" s="51"/>
      <c r="S128" s="51"/>
      <c r="T128" s="51"/>
      <c r="U128" s="51"/>
      <c r="V128" s="51"/>
      <c r="W128" s="50"/>
      <c r="X128" s="50"/>
      <c r="Y128" s="50"/>
      <c r="Z128" s="50"/>
      <c r="AA128" s="50"/>
      <c r="AB128" s="52"/>
      <c r="AC128" s="296"/>
      <c r="AD128" s="373"/>
      <c r="AE128" s="306" t="str">
        <f t="shared" si="45"/>
        <v/>
      </c>
      <c r="AF128" s="376"/>
    </row>
    <row r="129" spans="1:32" x14ac:dyDescent="0.25">
      <c r="A129" s="302" t="str">
        <f t="shared" si="46"/>
        <v/>
      </c>
      <c r="B129" s="304" t="str">
        <f t="shared" si="47"/>
        <v/>
      </c>
      <c r="C129" s="285"/>
      <c r="D129" s="353"/>
      <c r="E129" s="33"/>
      <c r="F129" s="34"/>
      <c r="G129" s="355"/>
      <c r="H129" s="359"/>
      <c r="I129" s="265"/>
      <c r="J129" s="266"/>
      <c r="K129" s="363"/>
      <c r="L129" s="367"/>
      <c r="M129" s="276"/>
      <c r="N129" s="277"/>
      <c r="O129" s="278"/>
      <c r="P129" s="279"/>
      <c r="Q129" s="253"/>
      <c r="R129" s="51"/>
      <c r="S129" s="51"/>
      <c r="T129" s="51"/>
      <c r="U129" s="51"/>
      <c r="V129" s="51"/>
      <c r="W129" s="50"/>
      <c r="X129" s="50"/>
      <c r="Y129" s="50"/>
      <c r="Z129" s="50"/>
      <c r="AA129" s="50"/>
      <c r="AB129" s="52"/>
      <c r="AC129" s="296"/>
      <c r="AD129" s="373"/>
      <c r="AE129" s="306" t="str">
        <f t="shared" si="45"/>
        <v/>
      </c>
      <c r="AF129" s="376"/>
    </row>
    <row r="130" spans="1:32" x14ac:dyDescent="0.25">
      <c r="A130" s="302" t="str">
        <f t="shared" si="46"/>
        <v/>
      </c>
      <c r="B130" s="304" t="str">
        <f t="shared" si="47"/>
        <v/>
      </c>
      <c r="C130" s="285"/>
      <c r="D130" s="353"/>
      <c r="E130" s="33"/>
      <c r="F130" s="34"/>
      <c r="G130" s="355"/>
      <c r="H130" s="359"/>
      <c r="I130" s="265"/>
      <c r="J130" s="266"/>
      <c r="K130" s="363"/>
      <c r="L130" s="367"/>
      <c r="M130" s="276"/>
      <c r="N130" s="277"/>
      <c r="O130" s="278"/>
      <c r="P130" s="279"/>
      <c r="Q130" s="253"/>
      <c r="R130" s="51"/>
      <c r="S130" s="51"/>
      <c r="T130" s="51"/>
      <c r="U130" s="51"/>
      <c r="V130" s="51"/>
      <c r="W130" s="50"/>
      <c r="X130" s="50"/>
      <c r="Y130" s="50"/>
      <c r="Z130" s="50"/>
      <c r="AA130" s="50"/>
      <c r="AB130" s="52"/>
      <c r="AC130" s="296"/>
      <c r="AD130" s="373"/>
      <c r="AE130" s="306" t="str">
        <f t="shared" si="45"/>
        <v/>
      </c>
      <c r="AF130" s="376"/>
    </row>
    <row r="131" spans="1:32" x14ac:dyDescent="0.25">
      <c r="A131" s="302" t="str">
        <f t="shared" si="46"/>
        <v/>
      </c>
      <c r="B131" s="304" t="str">
        <f t="shared" si="47"/>
        <v/>
      </c>
      <c r="C131" s="285"/>
      <c r="D131" s="353"/>
      <c r="E131" s="33"/>
      <c r="F131" s="34"/>
      <c r="G131" s="355"/>
      <c r="H131" s="359"/>
      <c r="I131" s="265"/>
      <c r="J131" s="266"/>
      <c r="K131" s="363"/>
      <c r="L131" s="367"/>
      <c r="M131" s="276"/>
      <c r="N131" s="277"/>
      <c r="O131" s="278"/>
      <c r="P131" s="279"/>
      <c r="Q131" s="253"/>
      <c r="R131" s="51"/>
      <c r="S131" s="51"/>
      <c r="T131" s="51"/>
      <c r="U131" s="51"/>
      <c r="V131" s="51"/>
      <c r="W131" s="50"/>
      <c r="X131" s="50"/>
      <c r="Y131" s="50"/>
      <c r="Z131" s="50"/>
      <c r="AA131" s="50"/>
      <c r="AB131" s="52"/>
      <c r="AC131" s="296"/>
      <c r="AD131" s="373"/>
      <c r="AE131" s="306" t="str">
        <f t="shared" si="45"/>
        <v/>
      </c>
      <c r="AF131" s="376"/>
    </row>
    <row r="132" spans="1:32" x14ac:dyDescent="0.25">
      <c r="A132" s="302" t="str">
        <f t="shared" si="46"/>
        <v/>
      </c>
      <c r="B132" s="304" t="str">
        <f t="shared" si="47"/>
        <v/>
      </c>
      <c r="C132" s="285"/>
      <c r="D132" s="353"/>
      <c r="E132" s="33"/>
      <c r="F132" s="34"/>
      <c r="G132" s="355"/>
      <c r="H132" s="359"/>
      <c r="I132" s="265"/>
      <c r="J132" s="266"/>
      <c r="K132" s="363"/>
      <c r="L132" s="367"/>
      <c r="M132" s="276"/>
      <c r="N132" s="277"/>
      <c r="O132" s="278"/>
      <c r="P132" s="279"/>
      <c r="Q132" s="253"/>
      <c r="R132" s="51"/>
      <c r="S132" s="51"/>
      <c r="T132" s="51"/>
      <c r="U132" s="51"/>
      <c r="V132" s="51"/>
      <c r="W132" s="50"/>
      <c r="X132" s="50"/>
      <c r="Y132" s="50"/>
      <c r="Z132" s="50"/>
      <c r="AA132" s="50"/>
      <c r="AB132" s="52"/>
      <c r="AC132" s="296"/>
      <c r="AD132" s="373"/>
      <c r="AE132" s="306" t="str">
        <f t="shared" si="45"/>
        <v/>
      </c>
      <c r="AF132" s="376"/>
    </row>
    <row r="133" spans="1:32" x14ac:dyDescent="0.25">
      <c r="A133" s="302" t="str">
        <f t="shared" si="46"/>
        <v/>
      </c>
      <c r="B133" s="304" t="str">
        <f t="shared" si="47"/>
        <v/>
      </c>
      <c r="C133" s="285"/>
      <c r="D133" s="353"/>
      <c r="E133" s="33"/>
      <c r="F133" s="34"/>
      <c r="G133" s="355"/>
      <c r="H133" s="359"/>
      <c r="I133" s="265"/>
      <c r="J133" s="266"/>
      <c r="K133" s="363"/>
      <c r="L133" s="367"/>
      <c r="M133" s="276"/>
      <c r="N133" s="277"/>
      <c r="O133" s="278"/>
      <c r="P133" s="279"/>
      <c r="Q133" s="253"/>
      <c r="R133" s="51"/>
      <c r="S133" s="51"/>
      <c r="T133" s="51"/>
      <c r="U133" s="51"/>
      <c r="V133" s="51"/>
      <c r="W133" s="50"/>
      <c r="X133" s="50"/>
      <c r="Y133" s="50"/>
      <c r="Z133" s="50"/>
      <c r="AA133" s="50"/>
      <c r="AB133" s="52"/>
      <c r="AC133" s="296"/>
      <c r="AD133" s="373"/>
      <c r="AE133" s="306" t="str">
        <f t="shared" si="45"/>
        <v/>
      </c>
      <c r="AF133" s="376"/>
    </row>
    <row r="134" spans="1:32" x14ac:dyDescent="0.25">
      <c r="A134" s="302" t="str">
        <f t="shared" ref="A134" si="48">IF(C134&lt;&gt;"",dwgnoprefix,"")</f>
        <v/>
      </c>
      <c r="B134" s="304" t="str">
        <f t="shared" ref="B134" si="49">IF(C134&lt;&gt;"", dwgdelimiter,"")</f>
        <v/>
      </c>
      <c r="C134" s="285"/>
      <c r="D134" s="353"/>
      <c r="E134" s="33"/>
      <c r="F134" s="34"/>
      <c r="G134" s="355"/>
      <c r="H134" s="359"/>
      <c r="I134" s="265"/>
      <c r="J134" s="266"/>
      <c r="K134" s="363"/>
      <c r="L134" s="367"/>
      <c r="M134" s="276"/>
      <c r="N134" s="277"/>
      <c r="O134" s="278"/>
      <c r="P134" s="279"/>
      <c r="Q134" s="253"/>
      <c r="R134" s="51"/>
      <c r="S134" s="51"/>
      <c r="T134" s="51"/>
      <c r="U134" s="51"/>
      <c r="V134" s="51"/>
      <c r="W134" s="50"/>
      <c r="X134" s="50"/>
      <c r="Y134" s="50"/>
      <c r="Z134" s="50"/>
      <c r="AA134" s="50"/>
      <c r="AB134" s="52"/>
      <c r="AC134" s="296"/>
      <c r="AD134" s="373"/>
      <c r="AE134" s="306" t="str">
        <f t="shared" ref="AE134" si="50">IF(OR(UPPER(TRIM(B134))="EDE",UPPER(TRIM(A134))="EDE"),UPPER(C134),IF(C134&lt;&gt;"",A134&amp;B134&amp;IF(C134&lt;=9,"000"&amp;TEXT(C134,0),IF(C134&lt;=99,"00"&amp;TEXT(C134,0),IF(C134&lt;999,"0"&amp;TEXT(C134,0),TEXT(C134,0)))),""))</f>
        <v/>
      </c>
      <c r="AF134" s="376"/>
    </row>
    <row r="135" spans="1:32" x14ac:dyDescent="0.25">
      <c r="A135" s="302" t="str">
        <f t="shared" si="46"/>
        <v/>
      </c>
      <c r="B135" s="304" t="str">
        <f t="shared" si="47"/>
        <v/>
      </c>
      <c r="C135" s="285"/>
      <c r="D135" s="353"/>
      <c r="E135" s="33"/>
      <c r="F135" s="34"/>
      <c r="G135" s="355"/>
      <c r="H135" s="359"/>
      <c r="I135" s="265"/>
      <c r="J135" s="266"/>
      <c r="K135" s="363"/>
      <c r="L135" s="367"/>
      <c r="M135" s="276"/>
      <c r="N135" s="277"/>
      <c r="O135" s="278"/>
      <c r="P135" s="279"/>
      <c r="Q135" s="253"/>
      <c r="R135" s="51"/>
      <c r="S135" s="51"/>
      <c r="T135" s="51"/>
      <c r="U135" s="51"/>
      <c r="V135" s="51"/>
      <c r="W135" s="50"/>
      <c r="X135" s="50"/>
      <c r="Y135" s="50"/>
      <c r="Z135" s="50"/>
      <c r="AA135" s="50"/>
      <c r="AB135" s="52"/>
      <c r="AC135" s="296"/>
      <c r="AD135" s="373"/>
      <c r="AE135" s="306" t="str">
        <f t="shared" si="45"/>
        <v/>
      </c>
      <c r="AF135" s="376"/>
    </row>
    <row r="136" spans="1:32" x14ac:dyDescent="0.25">
      <c r="A136" s="302" t="str">
        <f t="shared" si="46"/>
        <v/>
      </c>
      <c r="B136" s="304" t="str">
        <f t="shared" si="47"/>
        <v/>
      </c>
      <c r="C136" s="285"/>
      <c r="D136" s="353"/>
      <c r="E136" s="33"/>
      <c r="F136" s="34"/>
      <c r="G136" s="355"/>
      <c r="H136" s="359"/>
      <c r="I136" s="265"/>
      <c r="J136" s="266"/>
      <c r="K136" s="363"/>
      <c r="L136" s="367"/>
      <c r="M136" s="276"/>
      <c r="N136" s="277"/>
      <c r="O136" s="278"/>
      <c r="P136" s="279"/>
      <c r="Q136" s="253"/>
      <c r="R136" s="51"/>
      <c r="S136" s="51"/>
      <c r="T136" s="51"/>
      <c r="U136" s="51"/>
      <c r="V136" s="51"/>
      <c r="W136" s="50"/>
      <c r="X136" s="50"/>
      <c r="Y136" s="50"/>
      <c r="Z136" s="50"/>
      <c r="AA136" s="50"/>
      <c r="AB136" s="52"/>
      <c r="AC136" s="296"/>
      <c r="AD136" s="373"/>
      <c r="AE136" s="306" t="str">
        <f t="shared" si="45"/>
        <v/>
      </c>
      <c r="AF136" s="376"/>
    </row>
    <row r="137" spans="1:32" x14ac:dyDescent="0.25">
      <c r="A137" s="302" t="str">
        <f t="shared" si="46"/>
        <v/>
      </c>
      <c r="B137" s="304" t="str">
        <f t="shared" si="47"/>
        <v/>
      </c>
      <c r="C137" s="285"/>
      <c r="D137" s="353"/>
      <c r="E137" s="33"/>
      <c r="F137" s="34"/>
      <c r="G137" s="355"/>
      <c r="H137" s="359"/>
      <c r="I137" s="265"/>
      <c r="J137" s="266"/>
      <c r="K137" s="363"/>
      <c r="L137" s="367"/>
      <c r="M137" s="276"/>
      <c r="N137" s="277"/>
      <c r="O137" s="278"/>
      <c r="P137" s="279"/>
      <c r="Q137" s="253"/>
      <c r="R137" s="51"/>
      <c r="S137" s="51"/>
      <c r="T137" s="51"/>
      <c r="U137" s="51"/>
      <c r="V137" s="51"/>
      <c r="W137" s="50"/>
      <c r="X137" s="50"/>
      <c r="Y137" s="50"/>
      <c r="Z137" s="50"/>
      <c r="AA137" s="50"/>
      <c r="AB137" s="52"/>
      <c r="AC137" s="296"/>
      <c r="AD137" s="373"/>
      <c r="AE137" s="306" t="str">
        <f t="shared" si="45"/>
        <v/>
      </c>
      <c r="AF137" s="376"/>
    </row>
    <row r="138" spans="1:32" x14ac:dyDescent="0.25">
      <c r="A138" s="302" t="str">
        <f t="shared" si="46"/>
        <v/>
      </c>
      <c r="B138" s="304" t="str">
        <f t="shared" si="47"/>
        <v/>
      </c>
      <c r="C138" s="285"/>
      <c r="D138" s="353"/>
      <c r="E138" s="33"/>
      <c r="F138" s="34"/>
      <c r="G138" s="355"/>
      <c r="H138" s="359"/>
      <c r="I138" s="265"/>
      <c r="J138" s="266"/>
      <c r="K138" s="363"/>
      <c r="L138" s="367"/>
      <c r="M138" s="276"/>
      <c r="N138" s="277"/>
      <c r="O138" s="278"/>
      <c r="P138" s="279"/>
      <c r="Q138" s="253"/>
      <c r="R138" s="51"/>
      <c r="S138" s="51"/>
      <c r="T138" s="51"/>
      <c r="U138" s="51"/>
      <c r="V138" s="51"/>
      <c r="W138" s="50"/>
      <c r="X138" s="50"/>
      <c r="Y138" s="50"/>
      <c r="Z138" s="50"/>
      <c r="AA138" s="50"/>
      <c r="AB138" s="52"/>
      <c r="AC138" s="296"/>
      <c r="AD138" s="373"/>
      <c r="AE138" s="306" t="str">
        <f t="shared" si="45"/>
        <v/>
      </c>
      <c r="AF138" s="376"/>
    </row>
    <row r="139" spans="1:32" x14ac:dyDescent="0.25">
      <c r="A139" s="302" t="str">
        <f t="shared" si="46"/>
        <v/>
      </c>
      <c r="B139" s="304" t="str">
        <f t="shared" si="47"/>
        <v/>
      </c>
      <c r="C139" s="285"/>
      <c r="D139" s="353"/>
      <c r="E139" s="33"/>
      <c r="F139" s="34"/>
      <c r="G139" s="355"/>
      <c r="H139" s="359"/>
      <c r="I139" s="265"/>
      <c r="J139" s="266"/>
      <c r="K139" s="363"/>
      <c r="L139" s="367"/>
      <c r="M139" s="276"/>
      <c r="N139" s="277"/>
      <c r="O139" s="278"/>
      <c r="P139" s="279"/>
      <c r="Q139" s="253"/>
      <c r="R139" s="51"/>
      <c r="S139" s="51"/>
      <c r="T139" s="51"/>
      <c r="U139" s="51"/>
      <c r="V139" s="51"/>
      <c r="W139" s="50"/>
      <c r="X139" s="50"/>
      <c r="Y139" s="50"/>
      <c r="Z139" s="50"/>
      <c r="AA139" s="50"/>
      <c r="AB139" s="52"/>
      <c r="AC139" s="296"/>
      <c r="AD139" s="373"/>
      <c r="AE139" s="306" t="str">
        <f t="shared" si="45"/>
        <v/>
      </c>
      <c r="AF139" s="376"/>
    </row>
    <row r="140" spans="1:32" x14ac:dyDescent="0.25">
      <c r="A140" s="302" t="str">
        <f t="shared" si="46"/>
        <v/>
      </c>
      <c r="B140" s="304" t="str">
        <f t="shared" si="47"/>
        <v/>
      </c>
      <c r="C140" s="285"/>
      <c r="D140" s="353"/>
      <c r="E140" s="33"/>
      <c r="F140" s="34"/>
      <c r="G140" s="355"/>
      <c r="H140" s="359"/>
      <c r="I140" s="265"/>
      <c r="J140" s="266"/>
      <c r="K140" s="363"/>
      <c r="L140" s="367"/>
      <c r="M140" s="276"/>
      <c r="N140" s="277"/>
      <c r="O140" s="278"/>
      <c r="P140" s="279"/>
      <c r="Q140" s="253"/>
      <c r="R140" s="51"/>
      <c r="S140" s="51"/>
      <c r="T140" s="51"/>
      <c r="U140" s="51"/>
      <c r="V140" s="51"/>
      <c r="W140" s="50"/>
      <c r="X140" s="50"/>
      <c r="Y140" s="50"/>
      <c r="Z140" s="50"/>
      <c r="AA140" s="50"/>
      <c r="AB140" s="52"/>
      <c r="AC140" s="296"/>
      <c r="AD140" s="373"/>
      <c r="AE140" s="306" t="str">
        <f t="shared" si="45"/>
        <v/>
      </c>
      <c r="AF140" s="376"/>
    </row>
    <row r="141" spans="1:32" x14ac:dyDescent="0.25">
      <c r="A141" s="302" t="str">
        <f t="shared" si="46"/>
        <v/>
      </c>
      <c r="B141" s="304" t="str">
        <f t="shared" si="47"/>
        <v/>
      </c>
      <c r="C141" s="285"/>
      <c r="D141" s="353"/>
      <c r="E141" s="33"/>
      <c r="F141" s="34"/>
      <c r="G141" s="355"/>
      <c r="H141" s="359"/>
      <c r="I141" s="265"/>
      <c r="J141" s="266"/>
      <c r="K141" s="363"/>
      <c r="L141" s="367"/>
      <c r="M141" s="276"/>
      <c r="N141" s="277"/>
      <c r="O141" s="278"/>
      <c r="P141" s="279"/>
      <c r="Q141" s="253"/>
      <c r="R141" s="51"/>
      <c r="S141" s="51"/>
      <c r="T141" s="51"/>
      <c r="U141" s="51"/>
      <c r="V141" s="51"/>
      <c r="W141" s="50"/>
      <c r="X141" s="50"/>
      <c r="Y141" s="50"/>
      <c r="Z141" s="50"/>
      <c r="AA141" s="50"/>
      <c r="AB141" s="52"/>
      <c r="AC141" s="296"/>
      <c r="AD141" s="373"/>
      <c r="AE141" s="306" t="str">
        <f t="shared" si="45"/>
        <v/>
      </c>
      <c r="AF141" s="376"/>
    </row>
    <row r="142" spans="1:32" x14ac:dyDescent="0.25">
      <c r="A142" s="302" t="str">
        <f t="shared" si="46"/>
        <v/>
      </c>
      <c r="B142" s="304" t="str">
        <f t="shared" si="47"/>
        <v/>
      </c>
      <c r="C142" s="285"/>
      <c r="D142" s="353"/>
      <c r="E142" s="33"/>
      <c r="F142" s="34"/>
      <c r="G142" s="355"/>
      <c r="H142" s="359"/>
      <c r="I142" s="265"/>
      <c r="J142" s="266"/>
      <c r="K142" s="363"/>
      <c r="L142" s="367"/>
      <c r="M142" s="276"/>
      <c r="N142" s="277"/>
      <c r="O142" s="278"/>
      <c r="P142" s="279"/>
      <c r="Q142" s="253"/>
      <c r="R142" s="51"/>
      <c r="S142" s="51"/>
      <c r="T142" s="51"/>
      <c r="U142" s="51"/>
      <c r="V142" s="51"/>
      <c r="W142" s="50"/>
      <c r="X142" s="50"/>
      <c r="Y142" s="50"/>
      <c r="Z142" s="50"/>
      <c r="AA142" s="50"/>
      <c r="AB142" s="52"/>
      <c r="AC142" s="296"/>
      <c r="AD142" s="373"/>
      <c r="AE142" s="306" t="str">
        <f t="shared" si="45"/>
        <v/>
      </c>
      <c r="AF142" s="376"/>
    </row>
    <row r="143" spans="1:32" x14ac:dyDescent="0.25">
      <c r="A143" s="302" t="str">
        <f t="shared" si="46"/>
        <v/>
      </c>
      <c r="B143" s="304" t="str">
        <f t="shared" si="47"/>
        <v/>
      </c>
      <c r="C143" s="285"/>
      <c r="D143" s="353"/>
      <c r="E143" s="33"/>
      <c r="F143" s="34"/>
      <c r="G143" s="355"/>
      <c r="H143" s="359"/>
      <c r="I143" s="265"/>
      <c r="J143" s="266"/>
      <c r="K143" s="363"/>
      <c r="L143" s="367"/>
      <c r="M143" s="276"/>
      <c r="N143" s="277"/>
      <c r="O143" s="278"/>
      <c r="P143" s="279"/>
      <c r="Q143" s="253"/>
      <c r="R143" s="51"/>
      <c r="S143" s="51"/>
      <c r="T143" s="51"/>
      <c r="U143" s="51"/>
      <c r="V143" s="51"/>
      <c r="W143" s="50"/>
      <c r="X143" s="50"/>
      <c r="Y143" s="50"/>
      <c r="Z143" s="50"/>
      <c r="AA143" s="50"/>
      <c r="AB143" s="52"/>
      <c r="AC143" s="296"/>
      <c r="AD143" s="373"/>
      <c r="AE143" s="306" t="str">
        <f t="shared" si="45"/>
        <v/>
      </c>
      <c r="AF143" s="376"/>
    </row>
    <row r="144" spans="1:32" x14ac:dyDescent="0.25">
      <c r="A144" s="302" t="str">
        <f t="shared" si="46"/>
        <v/>
      </c>
      <c r="B144" s="304" t="str">
        <f t="shared" si="47"/>
        <v/>
      </c>
      <c r="C144" s="285"/>
      <c r="D144" s="353"/>
      <c r="E144" s="33"/>
      <c r="F144" s="34"/>
      <c r="G144" s="355"/>
      <c r="H144" s="359"/>
      <c r="I144" s="265"/>
      <c r="J144" s="266"/>
      <c r="K144" s="363"/>
      <c r="L144" s="367"/>
      <c r="M144" s="276"/>
      <c r="N144" s="277"/>
      <c r="O144" s="278"/>
      <c r="P144" s="279"/>
      <c r="Q144" s="253"/>
      <c r="R144" s="51"/>
      <c r="S144" s="51"/>
      <c r="T144" s="51"/>
      <c r="U144" s="51"/>
      <c r="V144" s="51"/>
      <c r="W144" s="50"/>
      <c r="X144" s="50"/>
      <c r="Y144" s="50"/>
      <c r="Z144" s="50"/>
      <c r="AA144" s="50"/>
      <c r="AB144" s="52"/>
      <c r="AC144" s="296"/>
      <c r="AD144" s="373"/>
      <c r="AE144" s="306" t="str">
        <f t="shared" si="45"/>
        <v/>
      </c>
      <c r="AF144" s="376"/>
    </row>
    <row r="145" spans="1:32" x14ac:dyDescent="0.25">
      <c r="A145" s="302" t="str">
        <f t="shared" si="46"/>
        <v/>
      </c>
      <c r="B145" s="304" t="str">
        <f t="shared" si="47"/>
        <v/>
      </c>
      <c r="C145" s="285"/>
      <c r="D145" s="353"/>
      <c r="E145" s="33"/>
      <c r="F145" s="34"/>
      <c r="G145" s="355"/>
      <c r="H145" s="359"/>
      <c r="I145" s="265"/>
      <c r="J145" s="266"/>
      <c r="K145" s="363"/>
      <c r="L145" s="367"/>
      <c r="M145" s="276"/>
      <c r="N145" s="277"/>
      <c r="O145" s="278"/>
      <c r="P145" s="279"/>
      <c r="Q145" s="253"/>
      <c r="R145" s="51"/>
      <c r="S145" s="51"/>
      <c r="T145" s="51"/>
      <c r="U145" s="51"/>
      <c r="V145" s="51"/>
      <c r="W145" s="50"/>
      <c r="X145" s="50"/>
      <c r="Y145" s="50"/>
      <c r="Z145" s="50"/>
      <c r="AA145" s="50"/>
      <c r="AB145" s="52"/>
      <c r="AC145" s="296"/>
      <c r="AD145" s="373"/>
      <c r="AE145" s="306" t="str">
        <f t="shared" si="45"/>
        <v/>
      </c>
      <c r="AF145" s="376"/>
    </row>
    <row r="146" spans="1:32" x14ac:dyDescent="0.25">
      <c r="A146" s="302" t="str">
        <f t="shared" si="46"/>
        <v/>
      </c>
      <c r="B146" s="304" t="str">
        <f t="shared" si="47"/>
        <v/>
      </c>
      <c r="C146" s="285"/>
      <c r="D146" s="353"/>
      <c r="E146" s="33"/>
      <c r="F146" s="34"/>
      <c r="G146" s="355"/>
      <c r="H146" s="359"/>
      <c r="I146" s="265"/>
      <c r="J146" s="266"/>
      <c r="K146" s="363"/>
      <c r="L146" s="367"/>
      <c r="M146" s="276"/>
      <c r="N146" s="277"/>
      <c r="O146" s="278"/>
      <c r="P146" s="279"/>
      <c r="Q146" s="253"/>
      <c r="R146" s="51"/>
      <c r="S146" s="51"/>
      <c r="T146" s="51"/>
      <c r="U146" s="51"/>
      <c r="V146" s="51"/>
      <c r="W146" s="50"/>
      <c r="X146" s="50"/>
      <c r="Y146" s="50"/>
      <c r="Z146" s="50"/>
      <c r="AA146" s="50"/>
      <c r="AB146" s="52"/>
      <c r="AC146" s="296"/>
      <c r="AD146" s="373"/>
      <c r="AE146" s="306" t="str">
        <f t="shared" si="45"/>
        <v/>
      </c>
      <c r="AF146" s="376"/>
    </row>
    <row r="147" spans="1:32" x14ac:dyDescent="0.25">
      <c r="A147" s="302" t="str">
        <f t="shared" ref="A147:A178" si="51">IF(C147&lt;&gt;"",dwgnoprefix,"")</f>
        <v/>
      </c>
      <c r="B147" s="304" t="str">
        <f t="shared" si="47"/>
        <v/>
      </c>
      <c r="C147" s="285"/>
      <c r="D147" s="353"/>
      <c r="E147" s="33"/>
      <c r="F147" s="34"/>
      <c r="G147" s="355"/>
      <c r="H147" s="359"/>
      <c r="I147" s="265"/>
      <c r="J147" s="266"/>
      <c r="K147" s="363"/>
      <c r="L147" s="367"/>
      <c r="M147" s="276"/>
      <c r="N147" s="277"/>
      <c r="O147" s="278"/>
      <c r="P147" s="279"/>
      <c r="Q147" s="253"/>
      <c r="R147" s="51"/>
      <c r="S147" s="51"/>
      <c r="T147" s="51"/>
      <c r="U147" s="51"/>
      <c r="V147" s="51"/>
      <c r="W147" s="50"/>
      <c r="X147" s="50"/>
      <c r="Y147" s="50"/>
      <c r="Z147" s="50"/>
      <c r="AA147" s="50"/>
      <c r="AB147" s="52"/>
      <c r="AC147" s="296"/>
      <c r="AD147" s="373"/>
      <c r="AE147" s="306" t="str">
        <f t="shared" si="45"/>
        <v/>
      </c>
      <c r="AF147" s="376"/>
    </row>
    <row r="148" spans="1:32" x14ac:dyDescent="0.25">
      <c r="A148" s="302" t="str">
        <f t="shared" si="51"/>
        <v/>
      </c>
      <c r="B148" s="304" t="str">
        <f t="shared" si="47"/>
        <v/>
      </c>
      <c r="C148" s="285"/>
      <c r="D148" s="353"/>
      <c r="E148" s="33"/>
      <c r="F148" s="34"/>
      <c r="G148" s="355"/>
      <c r="H148" s="359"/>
      <c r="I148" s="265"/>
      <c r="J148" s="266"/>
      <c r="K148" s="363"/>
      <c r="L148" s="367"/>
      <c r="M148" s="276"/>
      <c r="N148" s="277"/>
      <c r="O148" s="278"/>
      <c r="P148" s="279"/>
      <c r="Q148" s="253"/>
      <c r="R148" s="51"/>
      <c r="S148" s="51"/>
      <c r="T148" s="51"/>
      <c r="U148" s="51"/>
      <c r="V148" s="51"/>
      <c r="W148" s="50"/>
      <c r="X148" s="50"/>
      <c r="Y148" s="50"/>
      <c r="Z148" s="50"/>
      <c r="AA148" s="50"/>
      <c r="AB148" s="52"/>
      <c r="AC148" s="296"/>
      <c r="AD148" s="373"/>
      <c r="AE148" s="306" t="str">
        <f t="shared" si="45"/>
        <v/>
      </c>
      <c r="AF148" s="376"/>
    </row>
    <row r="149" spans="1:32" x14ac:dyDescent="0.25">
      <c r="A149" s="302" t="str">
        <f t="shared" si="51"/>
        <v/>
      </c>
      <c r="B149" s="304" t="str">
        <f t="shared" si="47"/>
        <v/>
      </c>
      <c r="C149" s="285"/>
      <c r="D149" s="353"/>
      <c r="E149" s="33"/>
      <c r="F149" s="34"/>
      <c r="G149" s="355"/>
      <c r="H149" s="359"/>
      <c r="I149" s="265"/>
      <c r="J149" s="266"/>
      <c r="K149" s="363"/>
      <c r="L149" s="367"/>
      <c r="M149" s="276"/>
      <c r="N149" s="277"/>
      <c r="O149" s="278"/>
      <c r="P149" s="279"/>
      <c r="Q149" s="253"/>
      <c r="R149" s="51"/>
      <c r="S149" s="51"/>
      <c r="T149" s="51"/>
      <c r="U149" s="51"/>
      <c r="V149" s="51"/>
      <c r="W149" s="50"/>
      <c r="X149" s="50"/>
      <c r="Y149" s="50"/>
      <c r="Z149" s="50"/>
      <c r="AA149" s="50"/>
      <c r="AB149" s="52"/>
      <c r="AC149" s="296"/>
      <c r="AD149" s="373"/>
      <c r="AE149" s="306" t="str">
        <f t="shared" si="45"/>
        <v/>
      </c>
      <c r="AF149" s="376"/>
    </row>
    <row r="150" spans="1:32" x14ac:dyDescent="0.25">
      <c r="A150" s="302" t="str">
        <f t="shared" si="51"/>
        <v/>
      </c>
      <c r="B150" s="304" t="str">
        <f t="shared" si="47"/>
        <v/>
      </c>
      <c r="C150" s="285"/>
      <c r="D150" s="353"/>
      <c r="E150" s="33"/>
      <c r="F150" s="34"/>
      <c r="G150" s="355"/>
      <c r="H150" s="359"/>
      <c r="I150" s="265"/>
      <c r="J150" s="266"/>
      <c r="K150" s="363"/>
      <c r="L150" s="367"/>
      <c r="M150" s="276"/>
      <c r="N150" s="277"/>
      <c r="O150" s="278"/>
      <c r="P150" s="279"/>
      <c r="Q150" s="253"/>
      <c r="R150" s="51"/>
      <c r="S150" s="51"/>
      <c r="T150" s="51"/>
      <c r="U150" s="51"/>
      <c r="V150" s="51"/>
      <c r="W150" s="50"/>
      <c r="X150" s="50"/>
      <c r="Y150" s="50"/>
      <c r="Z150" s="50"/>
      <c r="AA150" s="50"/>
      <c r="AB150" s="52"/>
      <c r="AC150" s="296"/>
      <c r="AD150" s="373"/>
      <c r="AE150" s="306" t="str">
        <f t="shared" si="45"/>
        <v/>
      </c>
      <c r="AF150" s="376"/>
    </row>
    <row r="151" spans="1:32" x14ac:dyDescent="0.25">
      <c r="A151" s="302" t="str">
        <f t="shared" si="51"/>
        <v/>
      </c>
      <c r="B151" s="304" t="str">
        <f t="shared" si="47"/>
        <v/>
      </c>
      <c r="C151" s="285"/>
      <c r="D151" s="353"/>
      <c r="E151" s="33"/>
      <c r="F151" s="34"/>
      <c r="G151" s="355"/>
      <c r="H151" s="359"/>
      <c r="I151" s="265"/>
      <c r="J151" s="266"/>
      <c r="K151" s="363"/>
      <c r="L151" s="367"/>
      <c r="M151" s="276"/>
      <c r="N151" s="277"/>
      <c r="O151" s="278"/>
      <c r="P151" s="279"/>
      <c r="Q151" s="253"/>
      <c r="R151" s="51"/>
      <c r="S151" s="51"/>
      <c r="T151" s="51"/>
      <c r="U151" s="51"/>
      <c r="V151" s="51"/>
      <c r="W151" s="50"/>
      <c r="X151" s="50"/>
      <c r="Y151" s="50"/>
      <c r="Z151" s="50"/>
      <c r="AA151" s="50"/>
      <c r="AB151" s="52"/>
      <c r="AC151" s="296"/>
      <c r="AD151" s="373"/>
      <c r="AE151" s="306" t="str">
        <f t="shared" si="45"/>
        <v/>
      </c>
      <c r="AF151" s="376"/>
    </row>
    <row r="152" spans="1:32" x14ac:dyDescent="0.25">
      <c r="A152" s="302" t="str">
        <f t="shared" si="51"/>
        <v/>
      </c>
      <c r="B152" s="304" t="str">
        <f t="shared" si="47"/>
        <v/>
      </c>
      <c r="C152" s="285"/>
      <c r="D152" s="353"/>
      <c r="E152" s="33"/>
      <c r="F152" s="34"/>
      <c r="G152" s="355"/>
      <c r="H152" s="359"/>
      <c r="I152" s="265"/>
      <c r="J152" s="266"/>
      <c r="K152" s="363"/>
      <c r="L152" s="367"/>
      <c r="M152" s="276"/>
      <c r="N152" s="277"/>
      <c r="O152" s="278"/>
      <c r="P152" s="279"/>
      <c r="Q152" s="253"/>
      <c r="R152" s="51"/>
      <c r="S152" s="51"/>
      <c r="T152" s="51"/>
      <c r="U152" s="51"/>
      <c r="V152" s="51"/>
      <c r="W152" s="50"/>
      <c r="X152" s="50"/>
      <c r="Y152" s="50"/>
      <c r="Z152" s="50"/>
      <c r="AA152" s="50"/>
      <c r="AB152" s="52"/>
      <c r="AC152" s="296"/>
      <c r="AD152" s="373"/>
      <c r="AE152" s="306" t="str">
        <f t="shared" si="45"/>
        <v/>
      </c>
      <c r="AF152" s="376"/>
    </row>
    <row r="153" spans="1:32" x14ac:dyDescent="0.25">
      <c r="A153" s="302" t="str">
        <f t="shared" si="51"/>
        <v/>
      </c>
      <c r="B153" s="304" t="str">
        <f t="shared" si="47"/>
        <v/>
      </c>
      <c r="C153" s="285"/>
      <c r="D153" s="353"/>
      <c r="E153" s="33"/>
      <c r="F153" s="34"/>
      <c r="G153" s="355"/>
      <c r="H153" s="359"/>
      <c r="I153" s="265"/>
      <c r="J153" s="266"/>
      <c r="K153" s="363"/>
      <c r="L153" s="367"/>
      <c r="M153" s="276"/>
      <c r="N153" s="277"/>
      <c r="O153" s="278"/>
      <c r="P153" s="279"/>
      <c r="Q153" s="253"/>
      <c r="R153" s="51"/>
      <c r="S153" s="51"/>
      <c r="T153" s="51"/>
      <c r="U153" s="51"/>
      <c r="V153" s="51"/>
      <c r="W153" s="50"/>
      <c r="X153" s="50"/>
      <c r="Y153" s="50"/>
      <c r="Z153" s="50"/>
      <c r="AA153" s="50"/>
      <c r="AB153" s="52"/>
      <c r="AC153" s="296"/>
      <c r="AD153" s="373"/>
      <c r="AE153" s="306" t="str">
        <f t="shared" si="45"/>
        <v/>
      </c>
      <c r="AF153" s="376"/>
    </row>
    <row r="154" spans="1:32" x14ac:dyDescent="0.25">
      <c r="A154" s="302" t="str">
        <f t="shared" si="51"/>
        <v/>
      </c>
      <c r="B154" s="304" t="str">
        <f t="shared" si="47"/>
        <v/>
      </c>
      <c r="C154" s="285"/>
      <c r="D154" s="353"/>
      <c r="E154" s="33"/>
      <c r="F154" s="34"/>
      <c r="G154" s="355"/>
      <c r="H154" s="359"/>
      <c r="I154" s="265"/>
      <c r="J154" s="266"/>
      <c r="K154" s="363"/>
      <c r="L154" s="367"/>
      <c r="M154" s="276"/>
      <c r="N154" s="277"/>
      <c r="O154" s="278"/>
      <c r="P154" s="279"/>
      <c r="Q154" s="253"/>
      <c r="R154" s="51"/>
      <c r="S154" s="51"/>
      <c r="T154" s="51"/>
      <c r="U154" s="51"/>
      <c r="V154" s="51"/>
      <c r="W154" s="50"/>
      <c r="X154" s="50"/>
      <c r="Y154" s="50"/>
      <c r="Z154" s="50"/>
      <c r="AA154" s="50"/>
      <c r="AB154" s="52"/>
      <c r="AC154" s="296"/>
      <c r="AD154" s="373"/>
      <c r="AE154" s="306" t="str">
        <f t="shared" si="45"/>
        <v/>
      </c>
      <c r="AF154" s="376"/>
    </row>
    <row r="155" spans="1:32" x14ac:dyDescent="0.25">
      <c r="A155" s="302" t="str">
        <f t="shared" si="51"/>
        <v/>
      </c>
      <c r="B155" s="304" t="str">
        <f t="shared" si="47"/>
        <v/>
      </c>
      <c r="C155" s="285"/>
      <c r="D155" s="353"/>
      <c r="E155" s="33"/>
      <c r="F155" s="34"/>
      <c r="G155" s="355"/>
      <c r="H155" s="359"/>
      <c r="I155" s="265"/>
      <c r="J155" s="266"/>
      <c r="K155" s="363"/>
      <c r="L155" s="367"/>
      <c r="M155" s="276"/>
      <c r="N155" s="277"/>
      <c r="O155" s="278"/>
      <c r="P155" s="279"/>
      <c r="Q155" s="253"/>
      <c r="R155" s="51"/>
      <c r="S155" s="51"/>
      <c r="T155" s="51"/>
      <c r="U155" s="51"/>
      <c r="V155" s="51"/>
      <c r="W155" s="50"/>
      <c r="X155" s="50"/>
      <c r="Y155" s="50"/>
      <c r="Z155" s="50"/>
      <c r="AA155" s="50"/>
      <c r="AB155" s="52"/>
      <c r="AC155" s="296"/>
      <c r="AD155" s="373"/>
      <c r="AE155" s="306" t="str">
        <f t="shared" si="45"/>
        <v/>
      </c>
      <c r="AF155" s="376"/>
    </row>
    <row r="156" spans="1:32" x14ac:dyDescent="0.25">
      <c r="A156" s="302" t="str">
        <f t="shared" si="51"/>
        <v/>
      </c>
      <c r="B156" s="304" t="str">
        <f t="shared" si="47"/>
        <v/>
      </c>
      <c r="C156" s="285"/>
      <c r="D156" s="353"/>
      <c r="E156" s="33"/>
      <c r="F156" s="34"/>
      <c r="G156" s="355"/>
      <c r="H156" s="359"/>
      <c r="I156" s="265"/>
      <c r="J156" s="266"/>
      <c r="K156" s="363"/>
      <c r="L156" s="367"/>
      <c r="M156" s="276"/>
      <c r="N156" s="277"/>
      <c r="O156" s="278"/>
      <c r="P156" s="279"/>
      <c r="Q156" s="253"/>
      <c r="R156" s="51"/>
      <c r="S156" s="51"/>
      <c r="T156" s="51"/>
      <c r="U156" s="51"/>
      <c r="V156" s="51"/>
      <c r="W156" s="50"/>
      <c r="X156" s="50"/>
      <c r="Y156" s="50"/>
      <c r="Z156" s="50"/>
      <c r="AA156" s="50"/>
      <c r="AB156" s="52"/>
      <c r="AC156" s="296"/>
      <c r="AD156" s="373"/>
      <c r="AE156" s="306" t="str">
        <f t="shared" si="45"/>
        <v/>
      </c>
      <c r="AF156" s="376"/>
    </row>
    <row r="157" spans="1:32" x14ac:dyDescent="0.25">
      <c r="A157" s="302" t="str">
        <f t="shared" si="51"/>
        <v/>
      </c>
      <c r="B157" s="304" t="str">
        <f t="shared" si="47"/>
        <v/>
      </c>
      <c r="C157" s="285"/>
      <c r="D157" s="353"/>
      <c r="E157" s="33"/>
      <c r="F157" s="34"/>
      <c r="G157" s="355"/>
      <c r="H157" s="359"/>
      <c r="I157" s="265"/>
      <c r="J157" s="266"/>
      <c r="K157" s="363"/>
      <c r="L157" s="367"/>
      <c r="M157" s="276"/>
      <c r="N157" s="277"/>
      <c r="O157" s="278"/>
      <c r="P157" s="279"/>
      <c r="Q157" s="253"/>
      <c r="R157" s="51"/>
      <c r="S157" s="51"/>
      <c r="T157" s="51"/>
      <c r="U157" s="51"/>
      <c r="V157" s="51"/>
      <c r="W157" s="50"/>
      <c r="X157" s="50"/>
      <c r="Y157" s="50"/>
      <c r="Z157" s="50"/>
      <c r="AA157" s="50"/>
      <c r="AB157" s="52"/>
      <c r="AC157" s="296"/>
      <c r="AD157" s="373"/>
      <c r="AE157" s="306" t="str">
        <f t="shared" si="45"/>
        <v/>
      </c>
      <c r="AF157" s="376"/>
    </row>
    <row r="158" spans="1:32" x14ac:dyDescent="0.25">
      <c r="A158" s="302" t="str">
        <f t="shared" si="51"/>
        <v/>
      </c>
      <c r="B158" s="304" t="str">
        <f t="shared" si="47"/>
        <v/>
      </c>
      <c r="C158" s="285"/>
      <c r="D158" s="353"/>
      <c r="E158" s="33"/>
      <c r="F158" s="34"/>
      <c r="G158" s="355"/>
      <c r="H158" s="359"/>
      <c r="I158" s="265"/>
      <c r="J158" s="266"/>
      <c r="K158" s="363"/>
      <c r="L158" s="367"/>
      <c r="M158" s="276"/>
      <c r="N158" s="277"/>
      <c r="O158" s="278"/>
      <c r="P158" s="279"/>
      <c r="Q158" s="253"/>
      <c r="R158" s="51"/>
      <c r="S158" s="51"/>
      <c r="T158" s="51"/>
      <c r="U158" s="51"/>
      <c r="V158" s="51"/>
      <c r="W158" s="50"/>
      <c r="X158" s="50"/>
      <c r="Y158" s="50"/>
      <c r="Z158" s="50"/>
      <c r="AA158" s="50"/>
      <c r="AB158" s="52"/>
      <c r="AC158" s="296"/>
      <c r="AD158" s="373"/>
      <c r="AE158" s="306" t="str">
        <f t="shared" si="45"/>
        <v/>
      </c>
      <c r="AF158" s="376"/>
    </row>
    <row r="159" spans="1:32" x14ac:dyDescent="0.25">
      <c r="A159" s="302" t="str">
        <f t="shared" si="51"/>
        <v/>
      </c>
      <c r="B159" s="304" t="str">
        <f t="shared" si="47"/>
        <v/>
      </c>
      <c r="C159" s="285"/>
      <c r="D159" s="353"/>
      <c r="E159" s="33"/>
      <c r="F159" s="34"/>
      <c r="G159" s="355"/>
      <c r="H159" s="359"/>
      <c r="I159" s="265"/>
      <c r="J159" s="266"/>
      <c r="K159" s="363"/>
      <c r="L159" s="367"/>
      <c r="M159" s="276"/>
      <c r="N159" s="277"/>
      <c r="O159" s="278"/>
      <c r="P159" s="279"/>
      <c r="Q159" s="253"/>
      <c r="R159" s="51"/>
      <c r="S159" s="51"/>
      <c r="T159" s="51"/>
      <c r="U159" s="51"/>
      <c r="V159" s="51"/>
      <c r="W159" s="50"/>
      <c r="X159" s="50"/>
      <c r="Y159" s="50"/>
      <c r="Z159" s="50"/>
      <c r="AA159" s="50"/>
      <c r="AB159" s="52"/>
      <c r="AC159" s="296"/>
      <c r="AD159" s="373"/>
      <c r="AE159" s="306" t="str">
        <f t="shared" si="45"/>
        <v/>
      </c>
      <c r="AF159" s="376"/>
    </row>
    <row r="160" spans="1:32" x14ac:dyDescent="0.25">
      <c r="A160" s="302" t="str">
        <f t="shared" si="51"/>
        <v/>
      </c>
      <c r="B160" s="304" t="str">
        <f t="shared" si="47"/>
        <v/>
      </c>
      <c r="C160" s="285"/>
      <c r="D160" s="353"/>
      <c r="E160" s="33"/>
      <c r="F160" s="34"/>
      <c r="G160" s="355"/>
      <c r="H160" s="359"/>
      <c r="I160" s="265"/>
      <c r="J160" s="266"/>
      <c r="K160" s="363"/>
      <c r="L160" s="367"/>
      <c r="M160" s="276"/>
      <c r="N160" s="277"/>
      <c r="O160" s="278"/>
      <c r="P160" s="279"/>
      <c r="Q160" s="253"/>
      <c r="R160" s="51"/>
      <c r="S160" s="51"/>
      <c r="T160" s="51"/>
      <c r="U160" s="51"/>
      <c r="V160" s="51"/>
      <c r="W160" s="50"/>
      <c r="X160" s="50"/>
      <c r="Y160" s="50"/>
      <c r="Z160" s="50"/>
      <c r="AA160" s="50"/>
      <c r="AB160" s="52"/>
      <c r="AC160" s="296"/>
      <c r="AD160" s="373"/>
      <c r="AE160" s="306" t="str">
        <f t="shared" si="45"/>
        <v/>
      </c>
      <c r="AF160" s="376"/>
    </row>
    <row r="161" spans="1:32" x14ac:dyDescent="0.25">
      <c r="A161" s="302" t="str">
        <f t="shared" si="51"/>
        <v/>
      </c>
      <c r="B161" s="304" t="str">
        <f t="shared" si="47"/>
        <v/>
      </c>
      <c r="C161" s="285"/>
      <c r="D161" s="353"/>
      <c r="E161" s="33"/>
      <c r="F161" s="34"/>
      <c r="G161" s="355"/>
      <c r="H161" s="359"/>
      <c r="I161" s="265"/>
      <c r="J161" s="266"/>
      <c r="K161" s="363"/>
      <c r="L161" s="367"/>
      <c r="M161" s="276"/>
      <c r="N161" s="277"/>
      <c r="O161" s="278"/>
      <c r="P161" s="279"/>
      <c r="Q161" s="253"/>
      <c r="R161" s="51"/>
      <c r="S161" s="51"/>
      <c r="T161" s="51"/>
      <c r="U161" s="51"/>
      <c r="V161" s="51"/>
      <c r="W161" s="50"/>
      <c r="X161" s="50"/>
      <c r="Y161" s="50"/>
      <c r="Z161" s="50"/>
      <c r="AA161" s="50"/>
      <c r="AB161" s="52"/>
      <c r="AC161" s="296"/>
      <c r="AD161" s="373"/>
      <c r="AE161" s="306" t="str">
        <f t="shared" si="45"/>
        <v/>
      </c>
      <c r="AF161" s="376"/>
    </row>
    <row r="162" spans="1:32" x14ac:dyDescent="0.25">
      <c r="A162" s="302" t="str">
        <f t="shared" si="51"/>
        <v/>
      </c>
      <c r="B162" s="304" t="str">
        <f t="shared" si="47"/>
        <v/>
      </c>
      <c r="C162" s="285"/>
      <c r="D162" s="353"/>
      <c r="E162" s="33"/>
      <c r="F162" s="34"/>
      <c r="G162" s="355"/>
      <c r="H162" s="359"/>
      <c r="I162" s="265"/>
      <c r="J162" s="266"/>
      <c r="K162" s="363"/>
      <c r="L162" s="367"/>
      <c r="M162" s="276"/>
      <c r="N162" s="277"/>
      <c r="O162" s="278"/>
      <c r="P162" s="279"/>
      <c r="Q162" s="253"/>
      <c r="R162" s="51"/>
      <c r="S162" s="51"/>
      <c r="T162" s="51"/>
      <c r="U162" s="51"/>
      <c r="V162" s="51"/>
      <c r="W162" s="50"/>
      <c r="X162" s="50"/>
      <c r="Y162" s="50"/>
      <c r="Z162" s="50"/>
      <c r="AA162" s="50"/>
      <c r="AB162" s="52"/>
      <c r="AC162" s="296"/>
      <c r="AD162" s="373"/>
      <c r="AE162" s="306" t="str">
        <f t="shared" si="45"/>
        <v/>
      </c>
      <c r="AF162" s="376"/>
    </row>
    <row r="163" spans="1:32" x14ac:dyDescent="0.25">
      <c r="A163" s="302" t="str">
        <f t="shared" si="51"/>
        <v/>
      </c>
      <c r="B163" s="304" t="str">
        <f t="shared" si="47"/>
        <v/>
      </c>
      <c r="C163" s="285"/>
      <c r="D163" s="353"/>
      <c r="E163" s="33"/>
      <c r="F163" s="34"/>
      <c r="G163" s="355"/>
      <c r="H163" s="359"/>
      <c r="I163" s="265"/>
      <c r="J163" s="266"/>
      <c r="K163" s="363"/>
      <c r="L163" s="367"/>
      <c r="M163" s="276"/>
      <c r="N163" s="277"/>
      <c r="O163" s="278"/>
      <c r="P163" s="279"/>
      <c r="Q163" s="253"/>
      <c r="R163" s="51"/>
      <c r="S163" s="51"/>
      <c r="T163" s="51"/>
      <c r="U163" s="51"/>
      <c r="V163" s="51"/>
      <c r="W163" s="50"/>
      <c r="X163" s="50"/>
      <c r="Y163" s="50"/>
      <c r="Z163" s="50"/>
      <c r="AA163" s="50"/>
      <c r="AB163" s="52"/>
      <c r="AC163" s="296"/>
      <c r="AD163" s="373"/>
      <c r="AE163" s="306" t="str">
        <f t="shared" si="45"/>
        <v/>
      </c>
      <c r="AF163" s="376"/>
    </row>
    <row r="164" spans="1:32" x14ac:dyDescent="0.25">
      <c r="A164" s="302" t="str">
        <f t="shared" si="51"/>
        <v/>
      </c>
      <c r="B164" s="304" t="str">
        <f t="shared" si="47"/>
        <v/>
      </c>
      <c r="C164" s="285"/>
      <c r="D164" s="353"/>
      <c r="E164" s="33"/>
      <c r="F164" s="34"/>
      <c r="G164" s="355"/>
      <c r="H164" s="359"/>
      <c r="I164" s="265"/>
      <c r="J164" s="266"/>
      <c r="K164" s="363"/>
      <c r="L164" s="367"/>
      <c r="M164" s="276"/>
      <c r="N164" s="277"/>
      <c r="O164" s="278"/>
      <c r="P164" s="279"/>
      <c r="Q164" s="253"/>
      <c r="R164" s="51"/>
      <c r="S164" s="51"/>
      <c r="T164" s="51"/>
      <c r="U164" s="51"/>
      <c r="V164" s="51"/>
      <c r="W164" s="50"/>
      <c r="X164" s="50"/>
      <c r="Y164" s="50"/>
      <c r="Z164" s="50"/>
      <c r="AA164" s="50"/>
      <c r="AB164" s="52"/>
      <c r="AC164" s="296"/>
      <c r="AD164" s="373"/>
      <c r="AE164" s="306" t="str">
        <f t="shared" si="45"/>
        <v/>
      </c>
      <c r="AF164" s="376"/>
    </row>
    <row r="165" spans="1:32" x14ac:dyDescent="0.25">
      <c r="A165" s="302" t="str">
        <f t="shared" si="51"/>
        <v/>
      </c>
      <c r="B165" s="304" t="str">
        <f t="shared" si="47"/>
        <v/>
      </c>
      <c r="C165" s="285"/>
      <c r="D165" s="353"/>
      <c r="E165" s="33"/>
      <c r="F165" s="34"/>
      <c r="G165" s="355"/>
      <c r="H165" s="359"/>
      <c r="I165" s="265"/>
      <c r="J165" s="266"/>
      <c r="K165" s="363"/>
      <c r="L165" s="367"/>
      <c r="M165" s="276"/>
      <c r="N165" s="277"/>
      <c r="O165" s="278"/>
      <c r="P165" s="279"/>
      <c r="Q165" s="253"/>
      <c r="R165" s="51"/>
      <c r="S165" s="51"/>
      <c r="T165" s="51"/>
      <c r="U165" s="51"/>
      <c r="V165" s="51"/>
      <c r="W165" s="50"/>
      <c r="X165" s="50"/>
      <c r="Y165" s="50"/>
      <c r="Z165" s="50"/>
      <c r="AA165" s="50"/>
      <c r="AB165" s="52"/>
      <c r="AC165" s="296"/>
      <c r="AD165" s="373"/>
      <c r="AE165" s="306" t="str">
        <f t="shared" si="45"/>
        <v/>
      </c>
      <c r="AF165" s="376"/>
    </row>
    <row r="166" spans="1:32" x14ac:dyDescent="0.25">
      <c r="A166" s="302" t="str">
        <f t="shared" si="51"/>
        <v/>
      </c>
      <c r="B166" s="304" t="str">
        <f t="shared" si="47"/>
        <v/>
      </c>
      <c r="C166" s="285"/>
      <c r="D166" s="353"/>
      <c r="E166" s="33"/>
      <c r="F166" s="34"/>
      <c r="G166" s="355"/>
      <c r="H166" s="359"/>
      <c r="I166" s="265"/>
      <c r="J166" s="266"/>
      <c r="K166" s="363"/>
      <c r="L166" s="367"/>
      <c r="M166" s="276"/>
      <c r="N166" s="277"/>
      <c r="O166" s="278"/>
      <c r="P166" s="279"/>
      <c r="Q166" s="253"/>
      <c r="R166" s="51"/>
      <c r="S166" s="51"/>
      <c r="T166" s="51"/>
      <c r="U166" s="51"/>
      <c r="V166" s="51"/>
      <c r="W166" s="50"/>
      <c r="X166" s="50"/>
      <c r="Y166" s="50"/>
      <c r="Z166" s="50"/>
      <c r="AA166" s="50"/>
      <c r="AB166" s="52"/>
      <c r="AC166" s="296"/>
      <c r="AD166" s="373"/>
      <c r="AE166" s="306" t="str">
        <f t="shared" si="45"/>
        <v/>
      </c>
      <c r="AF166" s="376"/>
    </row>
    <row r="167" spans="1:32" x14ac:dyDescent="0.25">
      <c r="A167" s="302" t="str">
        <f t="shared" si="51"/>
        <v/>
      </c>
      <c r="B167" s="304" t="str">
        <f t="shared" si="47"/>
        <v/>
      </c>
      <c r="C167" s="285"/>
      <c r="D167" s="353"/>
      <c r="E167" s="33"/>
      <c r="F167" s="34"/>
      <c r="G167" s="355"/>
      <c r="H167" s="359"/>
      <c r="I167" s="265"/>
      <c r="J167" s="266"/>
      <c r="K167" s="363"/>
      <c r="L167" s="367"/>
      <c r="M167" s="276"/>
      <c r="N167" s="277"/>
      <c r="O167" s="278"/>
      <c r="P167" s="279"/>
      <c r="Q167" s="253"/>
      <c r="R167" s="51"/>
      <c r="S167" s="51"/>
      <c r="T167" s="51"/>
      <c r="U167" s="51"/>
      <c r="V167" s="51"/>
      <c r="W167" s="50"/>
      <c r="X167" s="50"/>
      <c r="Y167" s="50"/>
      <c r="Z167" s="50"/>
      <c r="AA167" s="50"/>
      <c r="AB167" s="52"/>
      <c r="AC167" s="296"/>
      <c r="AD167" s="373"/>
      <c r="AE167" s="306" t="str">
        <f t="shared" si="45"/>
        <v/>
      </c>
      <c r="AF167" s="376"/>
    </row>
    <row r="168" spans="1:32" x14ac:dyDescent="0.25">
      <c r="A168" s="302" t="str">
        <f t="shared" si="51"/>
        <v/>
      </c>
      <c r="B168" s="304" t="str">
        <f t="shared" si="47"/>
        <v/>
      </c>
      <c r="C168" s="285"/>
      <c r="D168" s="353"/>
      <c r="E168" s="33"/>
      <c r="F168" s="34"/>
      <c r="G168" s="355"/>
      <c r="H168" s="359"/>
      <c r="I168" s="265"/>
      <c r="J168" s="266"/>
      <c r="K168" s="363"/>
      <c r="L168" s="367"/>
      <c r="M168" s="276"/>
      <c r="N168" s="277"/>
      <c r="O168" s="278"/>
      <c r="P168" s="279"/>
      <c r="Q168" s="253"/>
      <c r="R168" s="51"/>
      <c r="S168" s="51"/>
      <c r="T168" s="51"/>
      <c r="U168" s="51"/>
      <c r="V168" s="51"/>
      <c r="W168" s="50"/>
      <c r="X168" s="50"/>
      <c r="Y168" s="50"/>
      <c r="Z168" s="50"/>
      <c r="AA168" s="50"/>
      <c r="AB168" s="52"/>
      <c r="AC168" s="296"/>
      <c r="AD168" s="373"/>
      <c r="AE168" s="306" t="str">
        <f t="shared" si="45"/>
        <v/>
      </c>
      <c r="AF168" s="376"/>
    </row>
    <row r="169" spans="1:32" x14ac:dyDescent="0.25">
      <c r="A169" s="302" t="str">
        <f t="shared" si="51"/>
        <v/>
      </c>
      <c r="B169" s="304" t="str">
        <f t="shared" si="47"/>
        <v/>
      </c>
      <c r="C169" s="285"/>
      <c r="D169" s="353"/>
      <c r="E169" s="33"/>
      <c r="F169" s="34"/>
      <c r="G169" s="355"/>
      <c r="H169" s="359"/>
      <c r="I169" s="265"/>
      <c r="J169" s="266"/>
      <c r="K169" s="363"/>
      <c r="L169" s="367"/>
      <c r="M169" s="276"/>
      <c r="N169" s="277"/>
      <c r="O169" s="278"/>
      <c r="P169" s="279"/>
      <c r="Q169" s="253"/>
      <c r="R169" s="51"/>
      <c r="S169" s="51"/>
      <c r="T169" s="51"/>
      <c r="U169" s="51"/>
      <c r="V169" s="51"/>
      <c r="W169" s="50"/>
      <c r="X169" s="50"/>
      <c r="Y169" s="50"/>
      <c r="Z169" s="50"/>
      <c r="AA169" s="50"/>
      <c r="AB169" s="52"/>
      <c r="AC169" s="296"/>
      <c r="AD169" s="373"/>
      <c r="AE169" s="306" t="str">
        <f t="shared" si="45"/>
        <v/>
      </c>
      <c r="AF169" s="376"/>
    </row>
    <row r="170" spans="1:32" x14ac:dyDescent="0.25">
      <c r="A170" s="302" t="str">
        <f t="shared" si="51"/>
        <v/>
      </c>
      <c r="B170" s="304" t="str">
        <f t="shared" si="47"/>
        <v/>
      </c>
      <c r="C170" s="285"/>
      <c r="D170" s="353"/>
      <c r="E170" s="33"/>
      <c r="F170" s="34"/>
      <c r="G170" s="355"/>
      <c r="H170" s="359"/>
      <c r="I170" s="265"/>
      <c r="J170" s="266"/>
      <c r="K170" s="363"/>
      <c r="L170" s="367"/>
      <c r="M170" s="276"/>
      <c r="N170" s="277"/>
      <c r="O170" s="278"/>
      <c r="P170" s="279"/>
      <c r="Q170" s="253"/>
      <c r="R170" s="51"/>
      <c r="S170" s="51"/>
      <c r="T170" s="51"/>
      <c r="U170" s="51"/>
      <c r="V170" s="51"/>
      <c r="W170" s="50"/>
      <c r="X170" s="50"/>
      <c r="Y170" s="50"/>
      <c r="Z170" s="50"/>
      <c r="AA170" s="50"/>
      <c r="AB170" s="52"/>
      <c r="AC170" s="296"/>
      <c r="AD170" s="373"/>
      <c r="AE170" s="306" t="str">
        <f t="shared" ref="AE170:AE233" si="52">IF(OR(UPPER(TRIM(B170))="EDE",UPPER(TRIM(A170))="EDE"),UPPER(C170),IF(C170&lt;&gt;"",A170&amp;B170&amp;IF(C170&lt;=9,"000"&amp;TEXT(C170,0),IF(C170&lt;=99,"00"&amp;TEXT(C170,0),IF(C170&lt;999,"0"&amp;TEXT(C170,0),TEXT(C170,0)))),""))</f>
        <v/>
      </c>
      <c r="AF170" s="376"/>
    </row>
    <row r="171" spans="1:32" x14ac:dyDescent="0.25">
      <c r="A171" s="302" t="str">
        <f t="shared" si="51"/>
        <v/>
      </c>
      <c r="B171" s="304" t="str">
        <f t="shared" si="47"/>
        <v/>
      </c>
      <c r="C171" s="285"/>
      <c r="D171" s="353"/>
      <c r="E171" s="33"/>
      <c r="F171" s="34"/>
      <c r="G171" s="355"/>
      <c r="H171" s="359"/>
      <c r="I171" s="265"/>
      <c r="J171" s="266"/>
      <c r="K171" s="363"/>
      <c r="L171" s="367"/>
      <c r="M171" s="276"/>
      <c r="N171" s="277"/>
      <c r="O171" s="278"/>
      <c r="P171" s="279"/>
      <c r="Q171" s="253"/>
      <c r="R171" s="51"/>
      <c r="S171" s="51"/>
      <c r="T171" s="51"/>
      <c r="U171" s="51"/>
      <c r="V171" s="51"/>
      <c r="W171" s="50"/>
      <c r="X171" s="50"/>
      <c r="Y171" s="50"/>
      <c r="Z171" s="50"/>
      <c r="AA171" s="50"/>
      <c r="AB171" s="52"/>
      <c r="AC171" s="296"/>
      <c r="AD171" s="373"/>
      <c r="AE171" s="306" t="str">
        <f t="shared" si="52"/>
        <v/>
      </c>
      <c r="AF171" s="376"/>
    </row>
    <row r="172" spans="1:32" x14ac:dyDescent="0.25">
      <c r="A172" s="302" t="str">
        <f t="shared" si="51"/>
        <v/>
      </c>
      <c r="B172" s="304" t="str">
        <f t="shared" si="47"/>
        <v/>
      </c>
      <c r="C172" s="285"/>
      <c r="D172" s="353"/>
      <c r="E172" s="33"/>
      <c r="F172" s="34"/>
      <c r="G172" s="355"/>
      <c r="H172" s="359"/>
      <c r="I172" s="265"/>
      <c r="J172" s="266"/>
      <c r="K172" s="363"/>
      <c r="L172" s="367"/>
      <c r="M172" s="276"/>
      <c r="N172" s="277"/>
      <c r="O172" s="278"/>
      <c r="P172" s="279"/>
      <c r="Q172" s="253"/>
      <c r="R172" s="51"/>
      <c r="S172" s="51"/>
      <c r="T172" s="51"/>
      <c r="U172" s="51"/>
      <c r="V172" s="51"/>
      <c r="W172" s="50"/>
      <c r="X172" s="50"/>
      <c r="Y172" s="50"/>
      <c r="Z172" s="50"/>
      <c r="AA172" s="50"/>
      <c r="AB172" s="52"/>
      <c r="AC172" s="296"/>
      <c r="AD172" s="373"/>
      <c r="AE172" s="306" t="str">
        <f t="shared" si="52"/>
        <v/>
      </c>
      <c r="AF172" s="376"/>
    </row>
    <row r="173" spans="1:32" x14ac:dyDescent="0.25">
      <c r="A173" s="302" t="str">
        <f t="shared" si="51"/>
        <v/>
      </c>
      <c r="B173" s="304" t="str">
        <f t="shared" si="47"/>
        <v/>
      </c>
      <c r="C173" s="285"/>
      <c r="D173" s="353"/>
      <c r="E173" s="33"/>
      <c r="F173" s="34"/>
      <c r="G173" s="355"/>
      <c r="H173" s="359"/>
      <c r="I173" s="265"/>
      <c r="J173" s="266"/>
      <c r="K173" s="363"/>
      <c r="L173" s="367"/>
      <c r="M173" s="276"/>
      <c r="N173" s="277"/>
      <c r="O173" s="278"/>
      <c r="P173" s="279"/>
      <c r="Q173" s="253"/>
      <c r="R173" s="51"/>
      <c r="S173" s="51"/>
      <c r="T173" s="51"/>
      <c r="U173" s="51"/>
      <c r="V173" s="51"/>
      <c r="W173" s="50"/>
      <c r="X173" s="50"/>
      <c r="Y173" s="50"/>
      <c r="Z173" s="50"/>
      <c r="AA173" s="50"/>
      <c r="AB173" s="52"/>
      <c r="AC173" s="296"/>
      <c r="AD173" s="373"/>
      <c r="AE173" s="306" t="str">
        <f t="shared" si="52"/>
        <v/>
      </c>
      <c r="AF173" s="376"/>
    </row>
    <row r="174" spans="1:32" x14ac:dyDescent="0.25">
      <c r="A174" s="302" t="str">
        <f t="shared" si="51"/>
        <v/>
      </c>
      <c r="B174" s="304" t="str">
        <f t="shared" si="47"/>
        <v/>
      </c>
      <c r="C174" s="285"/>
      <c r="D174" s="353"/>
      <c r="E174" s="33"/>
      <c r="F174" s="34"/>
      <c r="G174" s="355"/>
      <c r="H174" s="359"/>
      <c r="I174" s="265"/>
      <c r="J174" s="266"/>
      <c r="K174" s="363"/>
      <c r="L174" s="367"/>
      <c r="M174" s="276"/>
      <c r="N174" s="277"/>
      <c r="O174" s="278"/>
      <c r="P174" s="279"/>
      <c r="Q174" s="253"/>
      <c r="R174" s="51"/>
      <c r="S174" s="51"/>
      <c r="T174" s="51"/>
      <c r="U174" s="51"/>
      <c r="V174" s="51"/>
      <c r="W174" s="50"/>
      <c r="X174" s="50"/>
      <c r="Y174" s="50"/>
      <c r="Z174" s="50"/>
      <c r="AA174" s="50"/>
      <c r="AB174" s="52"/>
      <c r="AC174" s="296"/>
      <c r="AD174" s="373"/>
      <c r="AE174" s="306" t="str">
        <f t="shared" si="52"/>
        <v/>
      </c>
      <c r="AF174" s="376"/>
    </row>
    <row r="175" spans="1:32" x14ac:dyDescent="0.25">
      <c r="A175" s="302" t="str">
        <f t="shared" si="51"/>
        <v/>
      </c>
      <c r="B175" s="304" t="str">
        <f t="shared" si="47"/>
        <v/>
      </c>
      <c r="C175" s="285"/>
      <c r="D175" s="353"/>
      <c r="E175" s="33"/>
      <c r="F175" s="34"/>
      <c r="G175" s="355"/>
      <c r="H175" s="359"/>
      <c r="I175" s="265"/>
      <c r="J175" s="266"/>
      <c r="K175" s="363"/>
      <c r="L175" s="367"/>
      <c r="M175" s="276"/>
      <c r="N175" s="277"/>
      <c r="O175" s="278"/>
      <c r="P175" s="279"/>
      <c r="Q175" s="253"/>
      <c r="R175" s="51"/>
      <c r="S175" s="51"/>
      <c r="T175" s="51"/>
      <c r="U175" s="51"/>
      <c r="V175" s="51"/>
      <c r="W175" s="50"/>
      <c r="X175" s="50"/>
      <c r="Y175" s="50"/>
      <c r="Z175" s="50"/>
      <c r="AA175" s="50"/>
      <c r="AB175" s="52"/>
      <c r="AC175" s="296"/>
      <c r="AD175" s="373"/>
      <c r="AE175" s="306" t="str">
        <f t="shared" si="52"/>
        <v/>
      </c>
      <c r="AF175" s="376"/>
    </row>
    <row r="176" spans="1:32" x14ac:dyDescent="0.25">
      <c r="A176" s="302" t="str">
        <f t="shared" si="51"/>
        <v/>
      </c>
      <c r="B176" s="304" t="str">
        <f t="shared" si="47"/>
        <v/>
      </c>
      <c r="C176" s="285"/>
      <c r="D176" s="353"/>
      <c r="E176" s="33"/>
      <c r="F176" s="34"/>
      <c r="G176" s="355"/>
      <c r="H176" s="359"/>
      <c r="I176" s="265"/>
      <c r="J176" s="266"/>
      <c r="K176" s="363"/>
      <c r="L176" s="367"/>
      <c r="M176" s="276"/>
      <c r="N176" s="277"/>
      <c r="O176" s="278"/>
      <c r="P176" s="279"/>
      <c r="Q176" s="253"/>
      <c r="R176" s="51"/>
      <c r="S176" s="51"/>
      <c r="T176" s="51"/>
      <c r="U176" s="51"/>
      <c r="V176" s="51"/>
      <c r="W176" s="50"/>
      <c r="X176" s="50"/>
      <c r="Y176" s="50"/>
      <c r="Z176" s="50"/>
      <c r="AA176" s="50"/>
      <c r="AB176" s="52"/>
      <c r="AC176" s="296"/>
      <c r="AD176" s="373"/>
      <c r="AE176" s="306" t="str">
        <f t="shared" si="52"/>
        <v/>
      </c>
      <c r="AF176" s="376"/>
    </row>
    <row r="177" spans="1:32" x14ac:dyDescent="0.25">
      <c r="A177" s="302" t="str">
        <f t="shared" si="51"/>
        <v/>
      </c>
      <c r="B177" s="304" t="str">
        <f t="shared" si="47"/>
        <v/>
      </c>
      <c r="C177" s="285"/>
      <c r="D177" s="353"/>
      <c r="E177" s="33"/>
      <c r="F177" s="34"/>
      <c r="G177" s="355"/>
      <c r="H177" s="359"/>
      <c r="I177" s="265"/>
      <c r="J177" s="266"/>
      <c r="K177" s="363"/>
      <c r="L177" s="367"/>
      <c r="M177" s="276"/>
      <c r="N177" s="277"/>
      <c r="O177" s="278"/>
      <c r="P177" s="279"/>
      <c r="Q177" s="253"/>
      <c r="R177" s="51"/>
      <c r="S177" s="51"/>
      <c r="T177" s="51"/>
      <c r="U177" s="51"/>
      <c r="V177" s="51"/>
      <c r="W177" s="50"/>
      <c r="X177" s="50"/>
      <c r="Y177" s="50"/>
      <c r="Z177" s="50"/>
      <c r="AA177" s="50"/>
      <c r="AB177" s="52"/>
      <c r="AC177" s="296"/>
      <c r="AD177" s="373"/>
      <c r="AE177" s="306" t="str">
        <f t="shared" si="52"/>
        <v/>
      </c>
      <c r="AF177" s="376"/>
    </row>
    <row r="178" spans="1:32" x14ac:dyDescent="0.25">
      <c r="A178" s="302" t="str">
        <f t="shared" si="51"/>
        <v/>
      </c>
      <c r="B178" s="304" t="str">
        <f t="shared" si="47"/>
        <v/>
      </c>
      <c r="C178" s="285"/>
      <c r="D178" s="353"/>
      <c r="E178" s="33"/>
      <c r="F178" s="34"/>
      <c r="G178" s="355"/>
      <c r="H178" s="359"/>
      <c r="I178" s="265"/>
      <c r="J178" s="266"/>
      <c r="K178" s="363"/>
      <c r="L178" s="367"/>
      <c r="M178" s="276"/>
      <c r="N178" s="277"/>
      <c r="O178" s="278"/>
      <c r="P178" s="279"/>
      <c r="Q178" s="253"/>
      <c r="R178" s="51"/>
      <c r="S178" s="51"/>
      <c r="T178" s="51"/>
      <c r="U178" s="51"/>
      <c r="V178" s="51"/>
      <c r="W178" s="50"/>
      <c r="X178" s="50"/>
      <c r="Y178" s="50"/>
      <c r="Z178" s="50"/>
      <c r="AA178" s="50"/>
      <c r="AB178" s="52"/>
      <c r="AC178" s="296"/>
      <c r="AD178" s="373"/>
      <c r="AE178" s="306" t="str">
        <f t="shared" si="52"/>
        <v/>
      </c>
      <c r="AF178" s="376"/>
    </row>
    <row r="179" spans="1:32" x14ac:dyDescent="0.25">
      <c r="A179" s="302" t="str">
        <f t="shared" ref="A179:A242" si="53">IF(C179&lt;&gt;"",dwgnoprefix,"")</f>
        <v/>
      </c>
      <c r="B179" s="304" t="str">
        <f t="shared" ref="B179:B243" si="54">IF(C179&lt;&gt;"", dwgdelimiter,"")</f>
        <v/>
      </c>
      <c r="C179" s="285"/>
      <c r="D179" s="353"/>
      <c r="E179" s="33"/>
      <c r="F179" s="34"/>
      <c r="G179" s="355"/>
      <c r="H179" s="359"/>
      <c r="I179" s="265"/>
      <c r="J179" s="266"/>
      <c r="K179" s="363"/>
      <c r="L179" s="367"/>
      <c r="M179" s="276"/>
      <c r="N179" s="277"/>
      <c r="O179" s="278"/>
      <c r="P179" s="279"/>
      <c r="Q179" s="253"/>
      <c r="R179" s="51"/>
      <c r="S179" s="51"/>
      <c r="T179" s="51"/>
      <c r="U179" s="51"/>
      <c r="V179" s="51"/>
      <c r="W179" s="50"/>
      <c r="X179" s="50"/>
      <c r="Y179" s="50"/>
      <c r="Z179" s="50"/>
      <c r="AA179" s="50"/>
      <c r="AB179" s="52"/>
      <c r="AC179" s="296"/>
      <c r="AD179" s="373"/>
      <c r="AE179" s="306" t="str">
        <f t="shared" si="52"/>
        <v/>
      </c>
      <c r="AF179" s="376"/>
    </row>
    <row r="180" spans="1:32" x14ac:dyDescent="0.25">
      <c r="A180" s="302" t="str">
        <f t="shared" si="53"/>
        <v/>
      </c>
      <c r="B180" s="304" t="str">
        <f t="shared" si="54"/>
        <v/>
      </c>
      <c r="C180" s="285"/>
      <c r="D180" s="353"/>
      <c r="E180" s="33"/>
      <c r="F180" s="34"/>
      <c r="G180" s="355"/>
      <c r="H180" s="359"/>
      <c r="I180" s="265"/>
      <c r="J180" s="266"/>
      <c r="K180" s="363"/>
      <c r="L180" s="367"/>
      <c r="M180" s="276"/>
      <c r="N180" s="277"/>
      <c r="O180" s="278"/>
      <c r="P180" s="279"/>
      <c r="Q180" s="253"/>
      <c r="R180" s="51"/>
      <c r="S180" s="51"/>
      <c r="T180" s="51"/>
      <c r="U180" s="51"/>
      <c r="V180" s="51"/>
      <c r="W180" s="50"/>
      <c r="X180" s="50"/>
      <c r="Y180" s="50"/>
      <c r="Z180" s="50"/>
      <c r="AA180" s="50"/>
      <c r="AB180" s="52"/>
      <c r="AC180" s="296"/>
      <c r="AD180" s="373"/>
      <c r="AE180" s="306" t="str">
        <f t="shared" si="52"/>
        <v/>
      </c>
      <c r="AF180" s="376"/>
    </row>
    <row r="181" spans="1:32" x14ac:dyDescent="0.25">
      <c r="A181" s="302" t="str">
        <f t="shared" si="53"/>
        <v/>
      </c>
      <c r="B181" s="304" t="str">
        <f t="shared" si="54"/>
        <v/>
      </c>
      <c r="C181" s="285"/>
      <c r="D181" s="353"/>
      <c r="E181" s="33"/>
      <c r="F181" s="34"/>
      <c r="G181" s="355"/>
      <c r="H181" s="359"/>
      <c r="I181" s="265"/>
      <c r="J181" s="266"/>
      <c r="K181" s="363"/>
      <c r="L181" s="367"/>
      <c r="M181" s="276"/>
      <c r="N181" s="277"/>
      <c r="O181" s="278"/>
      <c r="P181" s="279"/>
      <c r="Q181" s="253"/>
      <c r="R181" s="51"/>
      <c r="S181" s="51"/>
      <c r="T181" s="51"/>
      <c r="U181" s="51"/>
      <c r="V181" s="51"/>
      <c r="W181" s="50"/>
      <c r="X181" s="50"/>
      <c r="Y181" s="50"/>
      <c r="Z181" s="50"/>
      <c r="AA181" s="50"/>
      <c r="AB181" s="52"/>
      <c r="AC181" s="296"/>
      <c r="AD181" s="373"/>
      <c r="AE181" s="306" t="str">
        <f t="shared" si="52"/>
        <v/>
      </c>
      <c r="AF181" s="376"/>
    </row>
    <row r="182" spans="1:32" x14ac:dyDescent="0.25">
      <c r="A182" s="302" t="str">
        <f t="shared" si="53"/>
        <v/>
      </c>
      <c r="B182" s="304" t="str">
        <f t="shared" si="54"/>
        <v/>
      </c>
      <c r="C182" s="285"/>
      <c r="D182" s="353"/>
      <c r="E182" s="33"/>
      <c r="F182" s="34"/>
      <c r="G182" s="355"/>
      <c r="H182" s="359"/>
      <c r="I182" s="265"/>
      <c r="J182" s="266"/>
      <c r="K182" s="363"/>
      <c r="L182" s="367"/>
      <c r="M182" s="276"/>
      <c r="N182" s="277"/>
      <c r="O182" s="278"/>
      <c r="P182" s="279"/>
      <c r="Q182" s="253"/>
      <c r="R182" s="51"/>
      <c r="S182" s="51"/>
      <c r="T182" s="51"/>
      <c r="U182" s="51"/>
      <c r="V182" s="51"/>
      <c r="W182" s="50"/>
      <c r="X182" s="50"/>
      <c r="Y182" s="50"/>
      <c r="Z182" s="50"/>
      <c r="AA182" s="50"/>
      <c r="AB182" s="52"/>
      <c r="AC182" s="296"/>
      <c r="AD182" s="373"/>
      <c r="AE182" s="306" t="str">
        <f t="shared" si="52"/>
        <v/>
      </c>
      <c r="AF182" s="376"/>
    </row>
    <row r="183" spans="1:32" x14ac:dyDescent="0.25">
      <c r="A183" s="302" t="str">
        <f t="shared" si="53"/>
        <v/>
      </c>
      <c r="B183" s="304" t="str">
        <f t="shared" si="54"/>
        <v/>
      </c>
      <c r="C183" s="285"/>
      <c r="D183" s="353"/>
      <c r="E183" s="33"/>
      <c r="F183" s="34"/>
      <c r="G183" s="355"/>
      <c r="H183" s="359"/>
      <c r="I183" s="265"/>
      <c r="J183" s="266"/>
      <c r="K183" s="363"/>
      <c r="L183" s="367"/>
      <c r="M183" s="276"/>
      <c r="N183" s="277"/>
      <c r="O183" s="278"/>
      <c r="P183" s="279"/>
      <c r="Q183" s="253"/>
      <c r="R183" s="51"/>
      <c r="S183" s="51"/>
      <c r="T183" s="51"/>
      <c r="U183" s="51"/>
      <c r="V183" s="51"/>
      <c r="W183" s="50"/>
      <c r="X183" s="50"/>
      <c r="Y183" s="50"/>
      <c r="Z183" s="50"/>
      <c r="AA183" s="50"/>
      <c r="AB183" s="52"/>
      <c r="AC183" s="296"/>
      <c r="AD183" s="373"/>
      <c r="AE183" s="306" t="str">
        <f t="shared" si="52"/>
        <v/>
      </c>
      <c r="AF183" s="376"/>
    </row>
    <row r="184" spans="1:32" x14ac:dyDescent="0.25">
      <c r="A184" s="302" t="str">
        <f t="shared" si="53"/>
        <v/>
      </c>
      <c r="B184" s="304" t="str">
        <f t="shared" si="54"/>
        <v/>
      </c>
      <c r="C184" s="285"/>
      <c r="D184" s="353"/>
      <c r="E184" s="33"/>
      <c r="F184" s="34"/>
      <c r="G184" s="355"/>
      <c r="H184" s="359"/>
      <c r="I184" s="265"/>
      <c r="J184" s="266"/>
      <c r="K184" s="363"/>
      <c r="L184" s="367"/>
      <c r="M184" s="276"/>
      <c r="N184" s="277"/>
      <c r="O184" s="278"/>
      <c r="P184" s="279"/>
      <c r="Q184" s="253"/>
      <c r="R184" s="51"/>
      <c r="S184" s="51"/>
      <c r="T184" s="51"/>
      <c r="U184" s="51"/>
      <c r="V184" s="51"/>
      <c r="W184" s="50"/>
      <c r="X184" s="50"/>
      <c r="Y184" s="50"/>
      <c r="Z184" s="50"/>
      <c r="AA184" s="50"/>
      <c r="AB184" s="52"/>
      <c r="AC184" s="296"/>
      <c r="AD184" s="373"/>
      <c r="AE184" s="306" t="str">
        <f t="shared" si="52"/>
        <v/>
      </c>
      <c r="AF184" s="376"/>
    </row>
    <row r="185" spans="1:32" x14ac:dyDescent="0.25">
      <c r="A185" s="302" t="str">
        <f t="shared" si="53"/>
        <v/>
      </c>
      <c r="B185" s="304" t="str">
        <f t="shared" si="54"/>
        <v/>
      </c>
      <c r="C185" s="285"/>
      <c r="D185" s="353"/>
      <c r="E185" s="33"/>
      <c r="F185" s="34"/>
      <c r="G185" s="355"/>
      <c r="H185" s="359"/>
      <c r="I185" s="265"/>
      <c r="J185" s="266"/>
      <c r="K185" s="363"/>
      <c r="L185" s="367"/>
      <c r="M185" s="276"/>
      <c r="N185" s="277"/>
      <c r="O185" s="278"/>
      <c r="P185" s="279"/>
      <c r="Q185" s="253"/>
      <c r="R185" s="51"/>
      <c r="S185" s="51"/>
      <c r="T185" s="51"/>
      <c r="U185" s="51"/>
      <c r="V185" s="51"/>
      <c r="W185" s="50"/>
      <c r="X185" s="50"/>
      <c r="Y185" s="50"/>
      <c r="Z185" s="50"/>
      <c r="AA185" s="50"/>
      <c r="AB185" s="52"/>
      <c r="AC185" s="296"/>
      <c r="AD185" s="373"/>
      <c r="AE185" s="306" t="str">
        <f t="shared" si="52"/>
        <v/>
      </c>
      <c r="AF185" s="376"/>
    </row>
    <row r="186" spans="1:32" x14ac:dyDescent="0.25">
      <c r="A186" s="302" t="str">
        <f t="shared" si="53"/>
        <v/>
      </c>
      <c r="B186" s="304" t="str">
        <f t="shared" si="54"/>
        <v/>
      </c>
      <c r="C186" s="285"/>
      <c r="D186" s="353"/>
      <c r="E186" s="33"/>
      <c r="F186" s="34"/>
      <c r="G186" s="355"/>
      <c r="H186" s="359"/>
      <c r="I186" s="265"/>
      <c r="J186" s="266"/>
      <c r="K186" s="363"/>
      <c r="L186" s="367"/>
      <c r="M186" s="276"/>
      <c r="N186" s="277"/>
      <c r="O186" s="278"/>
      <c r="P186" s="279"/>
      <c r="Q186" s="253"/>
      <c r="R186" s="51"/>
      <c r="S186" s="51"/>
      <c r="T186" s="51"/>
      <c r="U186" s="51"/>
      <c r="V186" s="51"/>
      <c r="W186" s="50"/>
      <c r="X186" s="50"/>
      <c r="Y186" s="50"/>
      <c r="Z186" s="50"/>
      <c r="AA186" s="50"/>
      <c r="AB186" s="52"/>
      <c r="AC186" s="296"/>
      <c r="AD186" s="373"/>
      <c r="AE186" s="306" t="str">
        <f t="shared" si="52"/>
        <v/>
      </c>
      <c r="AF186" s="376"/>
    </row>
    <row r="187" spans="1:32" x14ac:dyDescent="0.25">
      <c r="A187" s="302" t="str">
        <f t="shared" si="53"/>
        <v/>
      </c>
      <c r="B187" s="304" t="str">
        <f t="shared" si="54"/>
        <v/>
      </c>
      <c r="C187" s="285"/>
      <c r="D187" s="353"/>
      <c r="E187" s="33"/>
      <c r="F187" s="34"/>
      <c r="G187" s="355"/>
      <c r="H187" s="359"/>
      <c r="I187" s="265"/>
      <c r="J187" s="266"/>
      <c r="K187" s="363"/>
      <c r="L187" s="367"/>
      <c r="M187" s="276"/>
      <c r="N187" s="277"/>
      <c r="O187" s="278"/>
      <c r="P187" s="279"/>
      <c r="Q187" s="253"/>
      <c r="R187" s="51"/>
      <c r="S187" s="51"/>
      <c r="T187" s="51"/>
      <c r="U187" s="51"/>
      <c r="V187" s="51"/>
      <c r="W187" s="50"/>
      <c r="X187" s="50"/>
      <c r="Y187" s="50"/>
      <c r="Z187" s="50"/>
      <c r="AA187" s="50"/>
      <c r="AB187" s="52"/>
      <c r="AC187" s="296"/>
      <c r="AD187" s="373"/>
      <c r="AE187" s="306" t="str">
        <f t="shared" si="52"/>
        <v/>
      </c>
      <c r="AF187" s="376"/>
    </row>
    <row r="188" spans="1:32" x14ac:dyDescent="0.25">
      <c r="A188" s="302" t="str">
        <f t="shared" si="53"/>
        <v/>
      </c>
      <c r="B188" s="304" t="str">
        <f t="shared" si="54"/>
        <v/>
      </c>
      <c r="C188" s="285"/>
      <c r="D188" s="353"/>
      <c r="E188" s="33"/>
      <c r="F188" s="34"/>
      <c r="G188" s="355"/>
      <c r="H188" s="359"/>
      <c r="I188" s="265"/>
      <c r="J188" s="266"/>
      <c r="K188" s="363"/>
      <c r="L188" s="367"/>
      <c r="M188" s="276"/>
      <c r="N188" s="277"/>
      <c r="O188" s="278"/>
      <c r="P188" s="279"/>
      <c r="Q188" s="253"/>
      <c r="R188" s="51"/>
      <c r="S188" s="51"/>
      <c r="T188" s="51"/>
      <c r="U188" s="51"/>
      <c r="V188" s="51"/>
      <c r="W188" s="50"/>
      <c r="X188" s="50"/>
      <c r="Y188" s="50"/>
      <c r="Z188" s="50"/>
      <c r="AA188" s="50"/>
      <c r="AB188" s="52"/>
      <c r="AC188" s="296"/>
      <c r="AD188" s="373"/>
      <c r="AE188" s="306" t="str">
        <f t="shared" si="52"/>
        <v/>
      </c>
      <c r="AF188" s="376"/>
    </row>
    <row r="189" spans="1:32" x14ac:dyDescent="0.25">
      <c r="A189" s="302" t="str">
        <f t="shared" si="53"/>
        <v/>
      </c>
      <c r="B189" s="304" t="str">
        <f t="shared" si="54"/>
        <v/>
      </c>
      <c r="C189" s="285"/>
      <c r="D189" s="353"/>
      <c r="E189" s="33"/>
      <c r="F189" s="34"/>
      <c r="G189" s="355"/>
      <c r="H189" s="359"/>
      <c r="I189" s="265"/>
      <c r="J189" s="266"/>
      <c r="K189" s="363"/>
      <c r="L189" s="367"/>
      <c r="M189" s="276"/>
      <c r="N189" s="277"/>
      <c r="O189" s="278"/>
      <c r="P189" s="279"/>
      <c r="Q189" s="253"/>
      <c r="R189" s="51"/>
      <c r="S189" s="51"/>
      <c r="T189" s="51"/>
      <c r="U189" s="51"/>
      <c r="V189" s="51"/>
      <c r="W189" s="50"/>
      <c r="X189" s="50"/>
      <c r="Y189" s="50"/>
      <c r="Z189" s="50"/>
      <c r="AA189" s="50"/>
      <c r="AB189" s="52"/>
      <c r="AC189" s="296"/>
      <c r="AD189" s="373"/>
      <c r="AE189" s="306" t="str">
        <f t="shared" si="52"/>
        <v/>
      </c>
      <c r="AF189" s="376"/>
    </row>
    <row r="190" spans="1:32" x14ac:dyDescent="0.25">
      <c r="A190" s="302" t="str">
        <f t="shared" si="53"/>
        <v/>
      </c>
      <c r="B190" s="304" t="str">
        <f t="shared" si="54"/>
        <v/>
      </c>
      <c r="C190" s="285"/>
      <c r="D190" s="353"/>
      <c r="E190" s="33"/>
      <c r="F190" s="34"/>
      <c r="G190" s="355"/>
      <c r="H190" s="359"/>
      <c r="I190" s="265"/>
      <c r="J190" s="266"/>
      <c r="K190" s="363"/>
      <c r="L190" s="367"/>
      <c r="M190" s="276"/>
      <c r="N190" s="277"/>
      <c r="O190" s="278"/>
      <c r="P190" s="279"/>
      <c r="Q190" s="253"/>
      <c r="R190" s="51"/>
      <c r="S190" s="51"/>
      <c r="T190" s="51"/>
      <c r="U190" s="51"/>
      <c r="V190" s="51"/>
      <c r="W190" s="50"/>
      <c r="X190" s="50"/>
      <c r="Y190" s="50"/>
      <c r="Z190" s="50"/>
      <c r="AA190" s="50"/>
      <c r="AB190" s="52"/>
      <c r="AC190" s="296"/>
      <c r="AD190" s="373"/>
      <c r="AE190" s="306" t="str">
        <f t="shared" si="52"/>
        <v/>
      </c>
      <c r="AF190" s="376"/>
    </row>
    <row r="191" spans="1:32" x14ac:dyDescent="0.25">
      <c r="A191" s="302" t="str">
        <f t="shared" si="53"/>
        <v/>
      </c>
      <c r="B191" s="304" t="str">
        <f t="shared" si="54"/>
        <v/>
      </c>
      <c r="C191" s="285"/>
      <c r="D191" s="353"/>
      <c r="E191" s="33"/>
      <c r="F191" s="34"/>
      <c r="G191" s="355"/>
      <c r="H191" s="359"/>
      <c r="I191" s="265"/>
      <c r="J191" s="266"/>
      <c r="K191" s="363"/>
      <c r="L191" s="367"/>
      <c r="M191" s="276"/>
      <c r="N191" s="277"/>
      <c r="O191" s="278"/>
      <c r="P191" s="279"/>
      <c r="Q191" s="253"/>
      <c r="R191" s="51"/>
      <c r="S191" s="51"/>
      <c r="T191" s="51"/>
      <c r="U191" s="51"/>
      <c r="V191" s="51"/>
      <c r="W191" s="50"/>
      <c r="X191" s="50"/>
      <c r="Y191" s="50"/>
      <c r="Z191" s="50"/>
      <c r="AA191" s="50"/>
      <c r="AB191" s="52"/>
      <c r="AC191" s="296"/>
      <c r="AD191" s="373"/>
      <c r="AE191" s="306" t="str">
        <f t="shared" si="52"/>
        <v/>
      </c>
      <c r="AF191" s="376"/>
    </row>
    <row r="192" spans="1:32" x14ac:dyDescent="0.25">
      <c r="A192" s="302" t="str">
        <f t="shared" si="53"/>
        <v/>
      </c>
      <c r="B192" s="304" t="str">
        <f t="shared" si="54"/>
        <v/>
      </c>
      <c r="C192" s="285"/>
      <c r="D192" s="353"/>
      <c r="E192" s="33"/>
      <c r="F192" s="34"/>
      <c r="G192" s="355"/>
      <c r="H192" s="359"/>
      <c r="I192" s="265"/>
      <c r="J192" s="266"/>
      <c r="K192" s="363"/>
      <c r="L192" s="367"/>
      <c r="M192" s="276"/>
      <c r="N192" s="277"/>
      <c r="O192" s="278"/>
      <c r="P192" s="279"/>
      <c r="Q192" s="253"/>
      <c r="R192" s="51"/>
      <c r="S192" s="51"/>
      <c r="T192" s="51"/>
      <c r="U192" s="51"/>
      <c r="V192" s="51"/>
      <c r="W192" s="50"/>
      <c r="X192" s="50"/>
      <c r="Y192" s="50"/>
      <c r="Z192" s="50"/>
      <c r="AA192" s="50"/>
      <c r="AB192" s="52"/>
      <c r="AC192" s="296"/>
      <c r="AD192" s="373"/>
      <c r="AE192" s="306" t="str">
        <f t="shared" si="52"/>
        <v/>
      </c>
      <c r="AF192" s="376"/>
    </row>
    <row r="193" spans="1:32" x14ac:dyDescent="0.25">
      <c r="A193" s="302" t="str">
        <f t="shared" si="53"/>
        <v/>
      </c>
      <c r="B193" s="304" t="str">
        <f t="shared" si="54"/>
        <v/>
      </c>
      <c r="C193" s="285"/>
      <c r="D193" s="353"/>
      <c r="E193" s="33"/>
      <c r="F193" s="34"/>
      <c r="G193" s="355"/>
      <c r="H193" s="359"/>
      <c r="I193" s="265"/>
      <c r="J193" s="266"/>
      <c r="K193" s="363"/>
      <c r="L193" s="367"/>
      <c r="M193" s="276"/>
      <c r="N193" s="277"/>
      <c r="O193" s="278"/>
      <c r="P193" s="279"/>
      <c r="Q193" s="253"/>
      <c r="R193" s="51"/>
      <c r="S193" s="51"/>
      <c r="T193" s="51"/>
      <c r="U193" s="51"/>
      <c r="V193" s="51"/>
      <c r="W193" s="50"/>
      <c r="X193" s="50"/>
      <c r="Y193" s="50"/>
      <c r="Z193" s="50"/>
      <c r="AA193" s="50"/>
      <c r="AB193" s="52"/>
      <c r="AC193" s="296"/>
      <c r="AD193" s="373"/>
      <c r="AE193" s="306" t="str">
        <f t="shared" si="52"/>
        <v/>
      </c>
      <c r="AF193" s="376"/>
    </row>
    <row r="194" spans="1:32" x14ac:dyDescent="0.25">
      <c r="A194" s="302" t="str">
        <f t="shared" si="53"/>
        <v/>
      </c>
      <c r="B194" s="304" t="str">
        <f t="shared" si="54"/>
        <v/>
      </c>
      <c r="C194" s="285"/>
      <c r="D194" s="353"/>
      <c r="E194" s="33"/>
      <c r="F194" s="34"/>
      <c r="G194" s="355"/>
      <c r="H194" s="359"/>
      <c r="I194" s="265"/>
      <c r="J194" s="266"/>
      <c r="K194" s="363"/>
      <c r="L194" s="367"/>
      <c r="M194" s="276"/>
      <c r="N194" s="277"/>
      <c r="O194" s="278"/>
      <c r="P194" s="279"/>
      <c r="Q194" s="253"/>
      <c r="R194" s="51"/>
      <c r="S194" s="51"/>
      <c r="T194" s="51"/>
      <c r="U194" s="51"/>
      <c r="V194" s="51"/>
      <c r="W194" s="50"/>
      <c r="X194" s="50"/>
      <c r="Y194" s="50"/>
      <c r="Z194" s="50"/>
      <c r="AA194" s="50"/>
      <c r="AB194" s="52"/>
      <c r="AC194" s="296"/>
      <c r="AD194" s="373"/>
      <c r="AE194" s="306" t="str">
        <f t="shared" si="52"/>
        <v/>
      </c>
      <c r="AF194" s="376"/>
    </row>
    <row r="195" spans="1:32" x14ac:dyDescent="0.25">
      <c r="A195" s="302" t="str">
        <f t="shared" si="53"/>
        <v/>
      </c>
      <c r="B195" s="304" t="str">
        <f t="shared" si="54"/>
        <v/>
      </c>
      <c r="C195" s="285"/>
      <c r="D195" s="353"/>
      <c r="E195" s="33"/>
      <c r="F195" s="34"/>
      <c r="G195" s="355"/>
      <c r="H195" s="359"/>
      <c r="I195" s="265"/>
      <c r="J195" s="266"/>
      <c r="K195" s="363"/>
      <c r="L195" s="367"/>
      <c r="M195" s="276"/>
      <c r="N195" s="277"/>
      <c r="O195" s="278"/>
      <c r="P195" s="279"/>
      <c r="Q195" s="253"/>
      <c r="R195" s="51"/>
      <c r="S195" s="51"/>
      <c r="T195" s="51"/>
      <c r="U195" s="51"/>
      <c r="V195" s="51"/>
      <c r="W195" s="50"/>
      <c r="X195" s="50"/>
      <c r="Y195" s="50"/>
      <c r="Z195" s="50"/>
      <c r="AA195" s="50"/>
      <c r="AB195" s="52"/>
      <c r="AC195" s="296"/>
      <c r="AD195" s="373"/>
      <c r="AE195" s="306" t="str">
        <f t="shared" si="52"/>
        <v/>
      </c>
      <c r="AF195" s="376"/>
    </row>
    <row r="196" spans="1:32" x14ac:dyDescent="0.25">
      <c r="A196" s="302" t="str">
        <f t="shared" si="53"/>
        <v/>
      </c>
      <c r="B196" s="304" t="str">
        <f t="shared" si="54"/>
        <v/>
      </c>
      <c r="C196" s="285"/>
      <c r="D196" s="353"/>
      <c r="E196" s="33"/>
      <c r="F196" s="34"/>
      <c r="G196" s="355"/>
      <c r="H196" s="359"/>
      <c r="I196" s="265"/>
      <c r="J196" s="266"/>
      <c r="K196" s="363"/>
      <c r="L196" s="367"/>
      <c r="M196" s="276"/>
      <c r="N196" s="277"/>
      <c r="O196" s="278"/>
      <c r="P196" s="279"/>
      <c r="Q196" s="253"/>
      <c r="R196" s="51"/>
      <c r="S196" s="51"/>
      <c r="T196" s="51"/>
      <c r="U196" s="51"/>
      <c r="V196" s="51"/>
      <c r="W196" s="50"/>
      <c r="X196" s="50"/>
      <c r="Y196" s="50"/>
      <c r="Z196" s="50"/>
      <c r="AA196" s="50"/>
      <c r="AB196" s="52"/>
      <c r="AC196" s="296"/>
      <c r="AD196" s="373"/>
      <c r="AE196" s="306" t="str">
        <f t="shared" si="52"/>
        <v/>
      </c>
      <c r="AF196" s="376"/>
    </row>
    <row r="197" spans="1:32" x14ac:dyDescent="0.25">
      <c r="A197" s="302" t="str">
        <f t="shared" si="53"/>
        <v/>
      </c>
      <c r="B197" s="304" t="str">
        <f t="shared" si="54"/>
        <v/>
      </c>
      <c r="C197" s="285"/>
      <c r="D197" s="353"/>
      <c r="E197" s="33"/>
      <c r="F197" s="34"/>
      <c r="G197" s="355"/>
      <c r="H197" s="359"/>
      <c r="I197" s="265"/>
      <c r="J197" s="266"/>
      <c r="K197" s="363"/>
      <c r="L197" s="367"/>
      <c r="M197" s="276"/>
      <c r="N197" s="277"/>
      <c r="O197" s="278"/>
      <c r="P197" s="279"/>
      <c r="Q197" s="253"/>
      <c r="R197" s="51"/>
      <c r="S197" s="51"/>
      <c r="T197" s="51"/>
      <c r="U197" s="51"/>
      <c r="V197" s="51"/>
      <c r="W197" s="50"/>
      <c r="X197" s="50"/>
      <c r="Y197" s="50"/>
      <c r="Z197" s="50"/>
      <c r="AA197" s="50"/>
      <c r="AB197" s="52"/>
      <c r="AC197" s="296"/>
      <c r="AD197" s="373"/>
      <c r="AE197" s="306" t="str">
        <f t="shared" si="52"/>
        <v/>
      </c>
      <c r="AF197" s="376"/>
    </row>
    <row r="198" spans="1:32" x14ac:dyDescent="0.25">
      <c r="A198" s="302" t="str">
        <f t="shared" si="53"/>
        <v/>
      </c>
      <c r="B198" s="304" t="str">
        <f t="shared" si="54"/>
        <v/>
      </c>
      <c r="C198" s="285"/>
      <c r="D198" s="353"/>
      <c r="E198" s="33"/>
      <c r="F198" s="34"/>
      <c r="G198" s="355"/>
      <c r="H198" s="359"/>
      <c r="I198" s="265"/>
      <c r="J198" s="266"/>
      <c r="K198" s="363"/>
      <c r="L198" s="367"/>
      <c r="M198" s="276"/>
      <c r="N198" s="277"/>
      <c r="O198" s="278"/>
      <c r="P198" s="279"/>
      <c r="Q198" s="253"/>
      <c r="R198" s="51"/>
      <c r="S198" s="51"/>
      <c r="T198" s="51"/>
      <c r="U198" s="51"/>
      <c r="V198" s="51"/>
      <c r="W198" s="50"/>
      <c r="X198" s="50"/>
      <c r="Y198" s="50"/>
      <c r="Z198" s="50"/>
      <c r="AA198" s="50"/>
      <c r="AB198" s="52"/>
      <c r="AC198" s="296"/>
      <c r="AD198" s="373"/>
      <c r="AE198" s="306" t="str">
        <f t="shared" si="52"/>
        <v/>
      </c>
      <c r="AF198" s="376"/>
    </row>
    <row r="199" spans="1:32" x14ac:dyDescent="0.25">
      <c r="A199" s="302" t="str">
        <f t="shared" si="53"/>
        <v/>
      </c>
      <c r="B199" s="304" t="str">
        <f t="shared" si="54"/>
        <v/>
      </c>
      <c r="C199" s="285"/>
      <c r="D199" s="353"/>
      <c r="E199" s="33"/>
      <c r="F199" s="34"/>
      <c r="G199" s="355"/>
      <c r="H199" s="359"/>
      <c r="I199" s="265"/>
      <c r="J199" s="266"/>
      <c r="K199" s="363"/>
      <c r="L199" s="367"/>
      <c r="M199" s="276"/>
      <c r="N199" s="277"/>
      <c r="O199" s="278"/>
      <c r="P199" s="279"/>
      <c r="Q199" s="253"/>
      <c r="R199" s="51"/>
      <c r="S199" s="51"/>
      <c r="T199" s="51"/>
      <c r="U199" s="51"/>
      <c r="V199" s="51"/>
      <c r="W199" s="50"/>
      <c r="X199" s="50"/>
      <c r="Y199" s="50"/>
      <c r="Z199" s="50"/>
      <c r="AA199" s="50"/>
      <c r="AB199" s="52"/>
      <c r="AC199" s="296"/>
      <c r="AD199" s="373"/>
      <c r="AE199" s="306" t="str">
        <f t="shared" si="52"/>
        <v/>
      </c>
      <c r="AF199" s="376"/>
    </row>
    <row r="200" spans="1:32" x14ac:dyDescent="0.25">
      <c r="A200" s="302" t="str">
        <f t="shared" si="53"/>
        <v/>
      </c>
      <c r="B200" s="304" t="str">
        <f t="shared" si="54"/>
        <v/>
      </c>
      <c r="C200" s="285"/>
      <c r="D200" s="353"/>
      <c r="E200" s="33"/>
      <c r="F200" s="34"/>
      <c r="G200" s="355"/>
      <c r="H200" s="359"/>
      <c r="I200" s="265"/>
      <c r="J200" s="266"/>
      <c r="K200" s="363"/>
      <c r="L200" s="367"/>
      <c r="M200" s="276"/>
      <c r="N200" s="277"/>
      <c r="O200" s="278"/>
      <c r="P200" s="279"/>
      <c r="Q200" s="253"/>
      <c r="R200" s="51"/>
      <c r="S200" s="51"/>
      <c r="T200" s="51"/>
      <c r="U200" s="51"/>
      <c r="V200" s="51"/>
      <c r="W200" s="50"/>
      <c r="X200" s="50"/>
      <c r="Y200" s="50"/>
      <c r="Z200" s="50"/>
      <c r="AA200" s="50"/>
      <c r="AB200" s="52"/>
      <c r="AC200" s="296"/>
      <c r="AD200" s="373"/>
      <c r="AE200" s="306" t="str">
        <f t="shared" si="52"/>
        <v/>
      </c>
      <c r="AF200" s="376"/>
    </row>
    <row r="201" spans="1:32" x14ac:dyDescent="0.25">
      <c r="A201" s="302" t="str">
        <f t="shared" si="53"/>
        <v/>
      </c>
      <c r="B201" s="304" t="str">
        <f t="shared" si="54"/>
        <v/>
      </c>
      <c r="C201" s="285"/>
      <c r="D201" s="353"/>
      <c r="E201" s="33"/>
      <c r="F201" s="34"/>
      <c r="G201" s="355"/>
      <c r="H201" s="359"/>
      <c r="I201" s="265"/>
      <c r="J201" s="266"/>
      <c r="K201" s="363"/>
      <c r="L201" s="367"/>
      <c r="M201" s="276"/>
      <c r="N201" s="277"/>
      <c r="O201" s="278"/>
      <c r="P201" s="279"/>
      <c r="Q201" s="253"/>
      <c r="R201" s="51"/>
      <c r="S201" s="51"/>
      <c r="T201" s="51"/>
      <c r="U201" s="51"/>
      <c r="V201" s="51"/>
      <c r="W201" s="50"/>
      <c r="X201" s="50"/>
      <c r="Y201" s="50"/>
      <c r="Z201" s="50"/>
      <c r="AA201" s="50"/>
      <c r="AB201" s="52"/>
      <c r="AC201" s="296"/>
      <c r="AD201" s="373"/>
      <c r="AE201" s="306" t="str">
        <f t="shared" si="52"/>
        <v/>
      </c>
      <c r="AF201" s="376"/>
    </row>
    <row r="202" spans="1:32" x14ac:dyDescent="0.25">
      <c r="A202" s="302" t="str">
        <f t="shared" si="53"/>
        <v/>
      </c>
      <c r="B202" s="304" t="str">
        <f t="shared" si="54"/>
        <v/>
      </c>
      <c r="C202" s="285"/>
      <c r="D202" s="353"/>
      <c r="E202" s="33"/>
      <c r="F202" s="34"/>
      <c r="G202" s="355"/>
      <c r="H202" s="359"/>
      <c r="I202" s="265"/>
      <c r="J202" s="266"/>
      <c r="K202" s="363"/>
      <c r="L202" s="367"/>
      <c r="M202" s="276"/>
      <c r="N202" s="277"/>
      <c r="O202" s="278"/>
      <c r="P202" s="279"/>
      <c r="Q202" s="253"/>
      <c r="R202" s="51"/>
      <c r="S202" s="51"/>
      <c r="T202" s="51"/>
      <c r="U202" s="51"/>
      <c r="V202" s="51"/>
      <c r="W202" s="50"/>
      <c r="X202" s="50"/>
      <c r="Y202" s="50"/>
      <c r="Z202" s="50"/>
      <c r="AA202" s="50"/>
      <c r="AB202" s="52"/>
      <c r="AC202" s="296"/>
      <c r="AD202" s="373"/>
      <c r="AE202" s="306" t="str">
        <f t="shared" si="52"/>
        <v/>
      </c>
      <c r="AF202" s="376"/>
    </row>
    <row r="203" spans="1:32" x14ac:dyDescent="0.25">
      <c r="A203" s="302" t="str">
        <f t="shared" si="53"/>
        <v/>
      </c>
      <c r="B203" s="304" t="str">
        <f t="shared" si="54"/>
        <v/>
      </c>
      <c r="C203" s="285"/>
      <c r="D203" s="353"/>
      <c r="E203" s="33"/>
      <c r="F203" s="34"/>
      <c r="G203" s="355"/>
      <c r="H203" s="359"/>
      <c r="I203" s="265"/>
      <c r="J203" s="266"/>
      <c r="K203" s="363"/>
      <c r="L203" s="367"/>
      <c r="M203" s="276"/>
      <c r="N203" s="277"/>
      <c r="O203" s="278"/>
      <c r="P203" s="279"/>
      <c r="Q203" s="253"/>
      <c r="R203" s="51"/>
      <c r="S203" s="51"/>
      <c r="T203" s="51"/>
      <c r="U203" s="51"/>
      <c r="V203" s="51"/>
      <c r="W203" s="50"/>
      <c r="X203" s="50"/>
      <c r="Y203" s="50"/>
      <c r="Z203" s="50"/>
      <c r="AA203" s="50"/>
      <c r="AB203" s="52"/>
      <c r="AC203" s="296"/>
      <c r="AD203" s="373"/>
      <c r="AE203" s="306" t="str">
        <f t="shared" si="52"/>
        <v/>
      </c>
      <c r="AF203" s="376"/>
    </row>
    <row r="204" spans="1:32" x14ac:dyDescent="0.25">
      <c r="A204" s="302" t="str">
        <f t="shared" si="53"/>
        <v/>
      </c>
      <c r="B204" s="304" t="str">
        <f t="shared" si="54"/>
        <v/>
      </c>
      <c r="C204" s="285"/>
      <c r="D204" s="353"/>
      <c r="E204" s="33"/>
      <c r="F204" s="34"/>
      <c r="G204" s="355"/>
      <c r="H204" s="359"/>
      <c r="I204" s="265"/>
      <c r="J204" s="266"/>
      <c r="K204" s="363"/>
      <c r="L204" s="367"/>
      <c r="M204" s="276"/>
      <c r="N204" s="277"/>
      <c r="O204" s="278"/>
      <c r="P204" s="279"/>
      <c r="Q204" s="253"/>
      <c r="R204" s="51"/>
      <c r="S204" s="51"/>
      <c r="T204" s="51"/>
      <c r="U204" s="51"/>
      <c r="V204" s="51"/>
      <c r="W204" s="50"/>
      <c r="X204" s="50"/>
      <c r="Y204" s="50"/>
      <c r="Z204" s="50"/>
      <c r="AA204" s="50"/>
      <c r="AB204" s="52"/>
      <c r="AC204" s="296"/>
      <c r="AD204" s="373"/>
      <c r="AE204" s="306" t="str">
        <f t="shared" si="52"/>
        <v/>
      </c>
      <c r="AF204" s="376"/>
    </row>
    <row r="205" spans="1:32" x14ac:dyDescent="0.25">
      <c r="A205" s="302" t="str">
        <f t="shared" si="53"/>
        <v/>
      </c>
      <c r="B205" s="304" t="str">
        <f t="shared" si="54"/>
        <v/>
      </c>
      <c r="C205" s="285"/>
      <c r="D205" s="353"/>
      <c r="E205" s="33"/>
      <c r="F205" s="34"/>
      <c r="G205" s="355"/>
      <c r="H205" s="359"/>
      <c r="I205" s="265"/>
      <c r="J205" s="266"/>
      <c r="K205" s="363"/>
      <c r="L205" s="367"/>
      <c r="M205" s="276"/>
      <c r="N205" s="277"/>
      <c r="O205" s="278"/>
      <c r="P205" s="279"/>
      <c r="Q205" s="253"/>
      <c r="R205" s="51"/>
      <c r="S205" s="51"/>
      <c r="T205" s="51"/>
      <c r="U205" s="51"/>
      <c r="V205" s="51"/>
      <c r="W205" s="50"/>
      <c r="X205" s="50"/>
      <c r="Y205" s="50"/>
      <c r="Z205" s="50"/>
      <c r="AA205" s="50"/>
      <c r="AB205" s="52"/>
      <c r="AC205" s="296"/>
      <c r="AD205" s="373"/>
      <c r="AE205" s="306" t="str">
        <f t="shared" si="52"/>
        <v/>
      </c>
      <c r="AF205" s="376"/>
    </row>
    <row r="206" spans="1:32" x14ac:dyDescent="0.25">
      <c r="A206" s="302" t="str">
        <f t="shared" si="53"/>
        <v/>
      </c>
      <c r="B206" s="304" t="str">
        <f t="shared" si="54"/>
        <v/>
      </c>
      <c r="C206" s="285"/>
      <c r="D206" s="353"/>
      <c r="E206" s="33"/>
      <c r="F206" s="34"/>
      <c r="G206" s="355"/>
      <c r="H206" s="359"/>
      <c r="I206" s="265"/>
      <c r="J206" s="266"/>
      <c r="K206" s="363"/>
      <c r="L206" s="367"/>
      <c r="M206" s="276"/>
      <c r="N206" s="277"/>
      <c r="O206" s="278"/>
      <c r="P206" s="279"/>
      <c r="Q206" s="253"/>
      <c r="R206" s="51"/>
      <c r="S206" s="51"/>
      <c r="T206" s="51"/>
      <c r="U206" s="51"/>
      <c r="V206" s="51"/>
      <c r="W206" s="50"/>
      <c r="X206" s="50"/>
      <c r="Y206" s="50"/>
      <c r="Z206" s="50"/>
      <c r="AA206" s="50"/>
      <c r="AB206" s="52"/>
      <c r="AC206" s="296"/>
      <c r="AD206" s="373"/>
      <c r="AE206" s="306" t="str">
        <f t="shared" si="52"/>
        <v/>
      </c>
      <c r="AF206" s="376"/>
    </row>
    <row r="207" spans="1:32" x14ac:dyDescent="0.25">
      <c r="A207" s="302" t="str">
        <f t="shared" si="53"/>
        <v/>
      </c>
      <c r="B207" s="304" t="str">
        <f t="shared" si="54"/>
        <v/>
      </c>
      <c r="C207" s="285"/>
      <c r="D207" s="353"/>
      <c r="E207" s="33"/>
      <c r="F207" s="34"/>
      <c r="G207" s="355"/>
      <c r="H207" s="359"/>
      <c r="I207" s="265"/>
      <c r="J207" s="266"/>
      <c r="K207" s="363"/>
      <c r="L207" s="367"/>
      <c r="M207" s="276"/>
      <c r="N207" s="277"/>
      <c r="O207" s="278"/>
      <c r="P207" s="279"/>
      <c r="Q207" s="253"/>
      <c r="R207" s="51"/>
      <c r="S207" s="51"/>
      <c r="T207" s="51"/>
      <c r="U207" s="51"/>
      <c r="V207" s="51"/>
      <c r="W207" s="50"/>
      <c r="X207" s="50"/>
      <c r="Y207" s="50"/>
      <c r="Z207" s="50"/>
      <c r="AA207" s="50"/>
      <c r="AB207" s="52"/>
      <c r="AC207" s="296"/>
      <c r="AD207" s="373"/>
      <c r="AE207" s="306" t="str">
        <f t="shared" si="52"/>
        <v/>
      </c>
      <c r="AF207" s="376"/>
    </row>
    <row r="208" spans="1:32" x14ac:dyDescent="0.25">
      <c r="A208" s="302" t="str">
        <f t="shared" si="53"/>
        <v/>
      </c>
      <c r="B208" s="304" t="str">
        <f t="shared" si="54"/>
        <v/>
      </c>
      <c r="C208" s="285"/>
      <c r="D208" s="353"/>
      <c r="E208" s="33"/>
      <c r="F208" s="34"/>
      <c r="G208" s="355"/>
      <c r="H208" s="359"/>
      <c r="I208" s="265"/>
      <c r="J208" s="266"/>
      <c r="K208" s="363"/>
      <c r="L208" s="367"/>
      <c r="M208" s="276"/>
      <c r="N208" s="277"/>
      <c r="O208" s="278"/>
      <c r="P208" s="279"/>
      <c r="Q208" s="253"/>
      <c r="R208" s="51"/>
      <c r="S208" s="51"/>
      <c r="T208" s="51"/>
      <c r="U208" s="51"/>
      <c r="V208" s="51"/>
      <c r="W208" s="50"/>
      <c r="X208" s="50"/>
      <c r="Y208" s="50"/>
      <c r="Z208" s="50"/>
      <c r="AA208" s="50"/>
      <c r="AB208" s="52"/>
      <c r="AC208" s="296"/>
      <c r="AD208" s="373"/>
      <c r="AE208" s="306" t="str">
        <f t="shared" si="52"/>
        <v/>
      </c>
      <c r="AF208" s="376"/>
    </row>
    <row r="209" spans="1:32" x14ac:dyDescent="0.25">
      <c r="A209" s="302" t="str">
        <f t="shared" si="53"/>
        <v/>
      </c>
      <c r="B209" s="304" t="str">
        <f t="shared" si="54"/>
        <v/>
      </c>
      <c r="C209" s="285"/>
      <c r="D209" s="353"/>
      <c r="E209" s="33"/>
      <c r="F209" s="34"/>
      <c r="G209" s="355"/>
      <c r="H209" s="359"/>
      <c r="I209" s="265"/>
      <c r="J209" s="266"/>
      <c r="K209" s="363"/>
      <c r="L209" s="367"/>
      <c r="M209" s="276"/>
      <c r="N209" s="277"/>
      <c r="O209" s="278"/>
      <c r="P209" s="279"/>
      <c r="Q209" s="253"/>
      <c r="R209" s="51"/>
      <c r="S209" s="51"/>
      <c r="T209" s="51"/>
      <c r="U209" s="51"/>
      <c r="V209" s="51"/>
      <c r="W209" s="50"/>
      <c r="X209" s="50"/>
      <c r="Y209" s="50"/>
      <c r="Z209" s="50"/>
      <c r="AA209" s="50"/>
      <c r="AB209" s="52"/>
      <c r="AC209" s="296"/>
      <c r="AD209" s="373"/>
      <c r="AE209" s="306" t="str">
        <f t="shared" si="52"/>
        <v/>
      </c>
      <c r="AF209" s="376"/>
    </row>
    <row r="210" spans="1:32" x14ac:dyDescent="0.25">
      <c r="A210" s="302" t="str">
        <f t="shared" si="53"/>
        <v/>
      </c>
      <c r="B210" s="304" t="str">
        <f t="shared" si="54"/>
        <v/>
      </c>
      <c r="C210" s="285"/>
      <c r="D210" s="353"/>
      <c r="E210" s="33"/>
      <c r="F210" s="34"/>
      <c r="G210" s="355"/>
      <c r="H210" s="359"/>
      <c r="I210" s="265"/>
      <c r="J210" s="266"/>
      <c r="K210" s="363"/>
      <c r="L210" s="367"/>
      <c r="M210" s="276"/>
      <c r="N210" s="277"/>
      <c r="O210" s="278"/>
      <c r="P210" s="279"/>
      <c r="Q210" s="253"/>
      <c r="R210" s="51"/>
      <c r="S210" s="51"/>
      <c r="T210" s="51"/>
      <c r="U210" s="51"/>
      <c r="V210" s="51"/>
      <c r="W210" s="50"/>
      <c r="X210" s="50"/>
      <c r="Y210" s="50"/>
      <c r="Z210" s="50"/>
      <c r="AA210" s="50"/>
      <c r="AB210" s="52"/>
      <c r="AC210" s="296"/>
      <c r="AD210" s="373"/>
      <c r="AE210" s="306" t="str">
        <f t="shared" si="52"/>
        <v/>
      </c>
      <c r="AF210" s="376"/>
    </row>
    <row r="211" spans="1:32" x14ac:dyDescent="0.25">
      <c r="A211" s="302" t="str">
        <f t="shared" si="53"/>
        <v/>
      </c>
      <c r="B211" s="304" t="str">
        <f t="shared" si="54"/>
        <v/>
      </c>
      <c r="C211" s="285"/>
      <c r="D211" s="353"/>
      <c r="E211" s="33"/>
      <c r="F211" s="34"/>
      <c r="G211" s="355"/>
      <c r="H211" s="359"/>
      <c r="I211" s="265"/>
      <c r="J211" s="266"/>
      <c r="K211" s="363"/>
      <c r="L211" s="367"/>
      <c r="M211" s="276"/>
      <c r="N211" s="277"/>
      <c r="O211" s="278"/>
      <c r="P211" s="279"/>
      <c r="Q211" s="253"/>
      <c r="R211" s="51"/>
      <c r="S211" s="51"/>
      <c r="T211" s="51"/>
      <c r="U211" s="51"/>
      <c r="V211" s="51"/>
      <c r="W211" s="50"/>
      <c r="X211" s="50"/>
      <c r="Y211" s="50"/>
      <c r="Z211" s="50"/>
      <c r="AA211" s="50"/>
      <c r="AB211" s="52"/>
      <c r="AC211" s="296"/>
      <c r="AD211" s="373"/>
      <c r="AE211" s="306" t="str">
        <f t="shared" si="52"/>
        <v/>
      </c>
      <c r="AF211" s="376"/>
    </row>
    <row r="212" spans="1:32" x14ac:dyDescent="0.25">
      <c r="A212" s="302" t="str">
        <f t="shared" si="53"/>
        <v/>
      </c>
      <c r="B212" s="304" t="str">
        <f t="shared" si="54"/>
        <v/>
      </c>
      <c r="C212" s="285"/>
      <c r="D212" s="353"/>
      <c r="E212" s="33"/>
      <c r="F212" s="34"/>
      <c r="G212" s="355"/>
      <c r="H212" s="359"/>
      <c r="I212" s="265"/>
      <c r="J212" s="266"/>
      <c r="K212" s="363"/>
      <c r="L212" s="367"/>
      <c r="M212" s="276"/>
      <c r="N212" s="277"/>
      <c r="O212" s="278"/>
      <c r="P212" s="279"/>
      <c r="Q212" s="253"/>
      <c r="R212" s="51"/>
      <c r="S212" s="51"/>
      <c r="T212" s="51"/>
      <c r="U212" s="51"/>
      <c r="V212" s="51"/>
      <c r="W212" s="50"/>
      <c r="X212" s="50"/>
      <c r="Y212" s="50"/>
      <c r="Z212" s="50"/>
      <c r="AA212" s="50"/>
      <c r="AB212" s="52"/>
      <c r="AC212" s="296"/>
      <c r="AD212" s="373"/>
      <c r="AE212" s="306" t="str">
        <f t="shared" si="52"/>
        <v/>
      </c>
      <c r="AF212" s="376"/>
    </row>
    <row r="213" spans="1:32" x14ac:dyDescent="0.25">
      <c r="A213" s="302" t="str">
        <f t="shared" si="53"/>
        <v/>
      </c>
      <c r="B213" s="304" t="str">
        <f t="shared" si="54"/>
        <v/>
      </c>
      <c r="C213" s="285"/>
      <c r="D213" s="353"/>
      <c r="E213" s="33"/>
      <c r="F213" s="34"/>
      <c r="G213" s="355"/>
      <c r="H213" s="359"/>
      <c r="I213" s="265"/>
      <c r="J213" s="266"/>
      <c r="K213" s="363"/>
      <c r="L213" s="367"/>
      <c r="M213" s="276"/>
      <c r="N213" s="277"/>
      <c r="O213" s="278"/>
      <c r="P213" s="279"/>
      <c r="Q213" s="253"/>
      <c r="R213" s="51"/>
      <c r="S213" s="51"/>
      <c r="T213" s="51"/>
      <c r="U213" s="51"/>
      <c r="V213" s="51"/>
      <c r="W213" s="50"/>
      <c r="X213" s="50"/>
      <c r="Y213" s="50"/>
      <c r="Z213" s="50"/>
      <c r="AA213" s="50"/>
      <c r="AB213" s="52"/>
      <c r="AC213" s="296"/>
      <c r="AD213" s="373"/>
      <c r="AE213" s="306" t="str">
        <f t="shared" si="52"/>
        <v/>
      </c>
      <c r="AF213" s="376"/>
    </row>
    <row r="214" spans="1:32" x14ac:dyDescent="0.25">
      <c r="A214" s="302" t="str">
        <f t="shared" si="53"/>
        <v/>
      </c>
      <c r="B214" s="304" t="str">
        <f t="shared" si="54"/>
        <v/>
      </c>
      <c r="C214" s="285"/>
      <c r="D214" s="353"/>
      <c r="E214" s="33"/>
      <c r="F214" s="34"/>
      <c r="G214" s="355"/>
      <c r="H214" s="359"/>
      <c r="I214" s="265"/>
      <c r="J214" s="266"/>
      <c r="K214" s="363"/>
      <c r="L214" s="367"/>
      <c r="M214" s="276"/>
      <c r="N214" s="277"/>
      <c r="O214" s="278"/>
      <c r="P214" s="279"/>
      <c r="Q214" s="253"/>
      <c r="R214" s="51"/>
      <c r="S214" s="51"/>
      <c r="T214" s="51"/>
      <c r="U214" s="51"/>
      <c r="V214" s="51"/>
      <c r="W214" s="50"/>
      <c r="X214" s="50"/>
      <c r="Y214" s="50"/>
      <c r="Z214" s="50"/>
      <c r="AA214" s="50"/>
      <c r="AB214" s="52"/>
      <c r="AC214" s="296"/>
      <c r="AD214" s="373"/>
      <c r="AE214" s="306" t="str">
        <f t="shared" si="52"/>
        <v/>
      </c>
      <c r="AF214" s="376"/>
    </row>
    <row r="215" spans="1:32" x14ac:dyDescent="0.25">
      <c r="A215" s="302" t="str">
        <f t="shared" si="53"/>
        <v/>
      </c>
      <c r="B215" s="304" t="str">
        <f t="shared" si="54"/>
        <v/>
      </c>
      <c r="C215" s="285"/>
      <c r="D215" s="353"/>
      <c r="E215" s="33"/>
      <c r="F215" s="34"/>
      <c r="G215" s="355"/>
      <c r="H215" s="359"/>
      <c r="I215" s="265"/>
      <c r="J215" s="266"/>
      <c r="K215" s="363"/>
      <c r="L215" s="367"/>
      <c r="M215" s="276"/>
      <c r="N215" s="277"/>
      <c r="O215" s="278"/>
      <c r="P215" s="279"/>
      <c r="Q215" s="253"/>
      <c r="R215" s="51"/>
      <c r="S215" s="51"/>
      <c r="T215" s="51"/>
      <c r="U215" s="51"/>
      <c r="V215" s="51"/>
      <c r="W215" s="50"/>
      <c r="X215" s="50"/>
      <c r="Y215" s="50"/>
      <c r="Z215" s="50"/>
      <c r="AA215" s="50"/>
      <c r="AB215" s="52"/>
      <c r="AC215" s="296"/>
      <c r="AD215" s="373"/>
      <c r="AE215" s="306" t="str">
        <f t="shared" si="52"/>
        <v/>
      </c>
      <c r="AF215" s="376"/>
    </row>
    <row r="216" spans="1:32" x14ac:dyDescent="0.25">
      <c r="A216" s="302" t="str">
        <f t="shared" si="53"/>
        <v/>
      </c>
      <c r="B216" s="304" t="str">
        <f t="shared" si="54"/>
        <v/>
      </c>
      <c r="C216" s="285"/>
      <c r="D216" s="353"/>
      <c r="E216" s="33"/>
      <c r="F216" s="34"/>
      <c r="G216" s="355"/>
      <c r="H216" s="359"/>
      <c r="I216" s="265"/>
      <c r="J216" s="266"/>
      <c r="K216" s="363"/>
      <c r="L216" s="367"/>
      <c r="M216" s="276"/>
      <c r="N216" s="277"/>
      <c r="O216" s="278"/>
      <c r="P216" s="279"/>
      <c r="Q216" s="253"/>
      <c r="R216" s="51"/>
      <c r="S216" s="51"/>
      <c r="T216" s="51"/>
      <c r="U216" s="51"/>
      <c r="V216" s="51"/>
      <c r="W216" s="50"/>
      <c r="X216" s="50"/>
      <c r="Y216" s="50"/>
      <c r="Z216" s="50"/>
      <c r="AA216" s="50"/>
      <c r="AB216" s="52"/>
      <c r="AC216" s="296"/>
      <c r="AD216" s="373"/>
      <c r="AE216" s="306" t="str">
        <f t="shared" si="52"/>
        <v/>
      </c>
      <c r="AF216" s="376"/>
    </row>
    <row r="217" spans="1:32" x14ac:dyDescent="0.25">
      <c r="A217" s="302" t="str">
        <f t="shared" si="53"/>
        <v/>
      </c>
      <c r="B217" s="304" t="str">
        <f t="shared" si="54"/>
        <v/>
      </c>
      <c r="C217" s="285"/>
      <c r="D217" s="353"/>
      <c r="E217" s="33"/>
      <c r="F217" s="34"/>
      <c r="G217" s="355"/>
      <c r="H217" s="359"/>
      <c r="I217" s="265"/>
      <c r="J217" s="266"/>
      <c r="K217" s="363"/>
      <c r="L217" s="367"/>
      <c r="M217" s="276"/>
      <c r="N217" s="277"/>
      <c r="O217" s="278"/>
      <c r="P217" s="279"/>
      <c r="Q217" s="253"/>
      <c r="R217" s="51"/>
      <c r="S217" s="51"/>
      <c r="T217" s="51"/>
      <c r="U217" s="51"/>
      <c r="V217" s="51"/>
      <c r="W217" s="50"/>
      <c r="X217" s="50"/>
      <c r="Y217" s="50"/>
      <c r="Z217" s="50"/>
      <c r="AA217" s="50"/>
      <c r="AB217" s="52"/>
      <c r="AC217" s="296"/>
      <c r="AD217" s="373"/>
      <c r="AE217" s="306" t="str">
        <f t="shared" si="52"/>
        <v/>
      </c>
      <c r="AF217" s="376"/>
    </row>
    <row r="218" spans="1:32" x14ac:dyDescent="0.25">
      <c r="A218" s="302" t="str">
        <f t="shared" si="53"/>
        <v/>
      </c>
      <c r="B218" s="304" t="str">
        <f t="shared" si="54"/>
        <v/>
      </c>
      <c r="C218" s="285"/>
      <c r="D218" s="353"/>
      <c r="E218" s="33"/>
      <c r="F218" s="34"/>
      <c r="G218" s="355"/>
      <c r="H218" s="359"/>
      <c r="I218" s="265"/>
      <c r="J218" s="266"/>
      <c r="K218" s="363"/>
      <c r="L218" s="367"/>
      <c r="M218" s="276"/>
      <c r="N218" s="277"/>
      <c r="O218" s="278"/>
      <c r="P218" s="279"/>
      <c r="Q218" s="253"/>
      <c r="R218" s="51"/>
      <c r="S218" s="51"/>
      <c r="T218" s="51"/>
      <c r="U218" s="51"/>
      <c r="V218" s="51"/>
      <c r="W218" s="50"/>
      <c r="X218" s="50"/>
      <c r="Y218" s="50"/>
      <c r="Z218" s="50"/>
      <c r="AA218" s="50"/>
      <c r="AB218" s="52"/>
      <c r="AC218" s="296"/>
      <c r="AD218" s="373"/>
      <c r="AE218" s="306" t="str">
        <f t="shared" si="52"/>
        <v/>
      </c>
      <c r="AF218" s="376"/>
    </row>
    <row r="219" spans="1:32" x14ac:dyDescent="0.25">
      <c r="A219" s="302" t="str">
        <f t="shared" si="53"/>
        <v/>
      </c>
      <c r="B219" s="304" t="str">
        <f t="shared" si="54"/>
        <v/>
      </c>
      <c r="C219" s="285"/>
      <c r="D219" s="353"/>
      <c r="E219" s="33"/>
      <c r="F219" s="34"/>
      <c r="G219" s="355"/>
      <c r="H219" s="359"/>
      <c r="I219" s="265"/>
      <c r="J219" s="266"/>
      <c r="K219" s="363"/>
      <c r="L219" s="367"/>
      <c r="M219" s="276"/>
      <c r="N219" s="277"/>
      <c r="O219" s="278"/>
      <c r="P219" s="279"/>
      <c r="Q219" s="253"/>
      <c r="R219" s="51"/>
      <c r="S219" s="51"/>
      <c r="T219" s="51"/>
      <c r="U219" s="51"/>
      <c r="V219" s="51"/>
      <c r="W219" s="50"/>
      <c r="X219" s="50"/>
      <c r="Y219" s="50"/>
      <c r="Z219" s="50"/>
      <c r="AA219" s="50"/>
      <c r="AB219" s="52"/>
      <c r="AC219" s="296"/>
      <c r="AD219" s="373"/>
      <c r="AE219" s="306" t="str">
        <f t="shared" si="52"/>
        <v/>
      </c>
      <c r="AF219" s="376"/>
    </row>
    <row r="220" spans="1:32" x14ac:dyDescent="0.25">
      <c r="A220" s="302" t="str">
        <f t="shared" si="53"/>
        <v/>
      </c>
      <c r="B220" s="304" t="str">
        <f t="shared" si="54"/>
        <v/>
      </c>
      <c r="C220" s="285"/>
      <c r="D220" s="353"/>
      <c r="E220" s="33"/>
      <c r="F220" s="34"/>
      <c r="G220" s="355"/>
      <c r="H220" s="359"/>
      <c r="I220" s="265"/>
      <c r="J220" s="266"/>
      <c r="K220" s="363"/>
      <c r="L220" s="367"/>
      <c r="M220" s="276"/>
      <c r="N220" s="277"/>
      <c r="O220" s="278"/>
      <c r="P220" s="279"/>
      <c r="Q220" s="253"/>
      <c r="R220" s="51"/>
      <c r="S220" s="51"/>
      <c r="T220" s="51"/>
      <c r="U220" s="51"/>
      <c r="V220" s="51"/>
      <c r="W220" s="50"/>
      <c r="X220" s="50"/>
      <c r="Y220" s="50"/>
      <c r="Z220" s="50"/>
      <c r="AA220" s="50"/>
      <c r="AB220" s="52"/>
      <c r="AC220" s="296"/>
      <c r="AD220" s="373"/>
      <c r="AE220" s="306" t="str">
        <f t="shared" si="52"/>
        <v/>
      </c>
      <c r="AF220" s="376"/>
    </row>
    <row r="221" spans="1:32" x14ac:dyDescent="0.25">
      <c r="A221" s="302" t="str">
        <f t="shared" si="53"/>
        <v/>
      </c>
      <c r="B221" s="304" t="str">
        <f t="shared" si="54"/>
        <v/>
      </c>
      <c r="C221" s="285"/>
      <c r="D221" s="353"/>
      <c r="E221" s="33"/>
      <c r="F221" s="34"/>
      <c r="G221" s="355"/>
      <c r="H221" s="359"/>
      <c r="I221" s="265"/>
      <c r="J221" s="266"/>
      <c r="K221" s="363"/>
      <c r="L221" s="367"/>
      <c r="M221" s="276"/>
      <c r="N221" s="277"/>
      <c r="O221" s="278"/>
      <c r="P221" s="279"/>
      <c r="Q221" s="253"/>
      <c r="R221" s="51"/>
      <c r="S221" s="51"/>
      <c r="T221" s="51"/>
      <c r="U221" s="51"/>
      <c r="V221" s="51"/>
      <c r="W221" s="50"/>
      <c r="X221" s="50"/>
      <c r="Y221" s="50"/>
      <c r="Z221" s="50"/>
      <c r="AA221" s="50"/>
      <c r="AB221" s="52"/>
      <c r="AC221" s="296"/>
      <c r="AD221" s="373"/>
      <c r="AE221" s="306" t="str">
        <f t="shared" si="52"/>
        <v/>
      </c>
      <c r="AF221" s="376"/>
    </row>
    <row r="222" spans="1:32" x14ac:dyDescent="0.25">
      <c r="A222" s="302" t="str">
        <f t="shared" si="53"/>
        <v/>
      </c>
      <c r="B222" s="304" t="str">
        <f t="shared" si="54"/>
        <v/>
      </c>
      <c r="C222" s="285"/>
      <c r="D222" s="353"/>
      <c r="E222" s="33"/>
      <c r="F222" s="34"/>
      <c r="G222" s="355"/>
      <c r="H222" s="359"/>
      <c r="I222" s="265"/>
      <c r="J222" s="266"/>
      <c r="K222" s="363"/>
      <c r="L222" s="367"/>
      <c r="M222" s="276"/>
      <c r="N222" s="277"/>
      <c r="O222" s="278"/>
      <c r="P222" s="279"/>
      <c r="Q222" s="253"/>
      <c r="R222" s="51"/>
      <c r="S222" s="51"/>
      <c r="T222" s="51"/>
      <c r="U222" s="51"/>
      <c r="V222" s="51"/>
      <c r="W222" s="50"/>
      <c r="X222" s="50"/>
      <c r="Y222" s="50"/>
      <c r="Z222" s="50"/>
      <c r="AA222" s="50"/>
      <c r="AB222" s="52"/>
      <c r="AC222" s="296"/>
      <c r="AD222" s="373"/>
      <c r="AE222" s="306" t="str">
        <f t="shared" si="52"/>
        <v/>
      </c>
      <c r="AF222" s="376"/>
    </row>
    <row r="223" spans="1:32" x14ac:dyDescent="0.25">
      <c r="A223" s="302" t="str">
        <f t="shared" si="53"/>
        <v/>
      </c>
      <c r="B223" s="304" t="str">
        <f t="shared" si="54"/>
        <v/>
      </c>
      <c r="C223" s="285"/>
      <c r="D223" s="353"/>
      <c r="E223" s="33"/>
      <c r="F223" s="34"/>
      <c r="G223" s="355"/>
      <c r="H223" s="359"/>
      <c r="I223" s="265"/>
      <c r="J223" s="266"/>
      <c r="K223" s="363"/>
      <c r="L223" s="367"/>
      <c r="M223" s="276"/>
      <c r="N223" s="277"/>
      <c r="O223" s="278"/>
      <c r="P223" s="279"/>
      <c r="Q223" s="253"/>
      <c r="R223" s="51"/>
      <c r="S223" s="51"/>
      <c r="T223" s="51"/>
      <c r="U223" s="51"/>
      <c r="V223" s="51"/>
      <c r="W223" s="50"/>
      <c r="X223" s="50"/>
      <c r="Y223" s="50"/>
      <c r="Z223" s="50"/>
      <c r="AA223" s="50"/>
      <c r="AB223" s="52"/>
      <c r="AC223" s="296"/>
      <c r="AD223" s="373"/>
      <c r="AE223" s="306" t="str">
        <f t="shared" si="52"/>
        <v/>
      </c>
      <c r="AF223" s="376"/>
    </row>
    <row r="224" spans="1:32" x14ac:dyDescent="0.25">
      <c r="A224" s="302" t="str">
        <f t="shared" si="53"/>
        <v/>
      </c>
      <c r="B224" s="304" t="str">
        <f t="shared" si="54"/>
        <v/>
      </c>
      <c r="C224" s="285"/>
      <c r="D224" s="353"/>
      <c r="E224" s="33"/>
      <c r="F224" s="34"/>
      <c r="G224" s="355"/>
      <c r="H224" s="359"/>
      <c r="I224" s="265"/>
      <c r="J224" s="266"/>
      <c r="K224" s="363"/>
      <c r="L224" s="367"/>
      <c r="M224" s="276"/>
      <c r="N224" s="277"/>
      <c r="O224" s="278"/>
      <c r="P224" s="279"/>
      <c r="Q224" s="253"/>
      <c r="R224" s="51"/>
      <c r="S224" s="51"/>
      <c r="T224" s="51"/>
      <c r="U224" s="51"/>
      <c r="V224" s="51"/>
      <c r="W224" s="50"/>
      <c r="X224" s="50"/>
      <c r="Y224" s="50"/>
      <c r="Z224" s="50"/>
      <c r="AA224" s="50"/>
      <c r="AB224" s="52"/>
      <c r="AC224" s="296"/>
      <c r="AD224" s="373"/>
      <c r="AE224" s="306" t="str">
        <f t="shared" si="52"/>
        <v/>
      </c>
      <c r="AF224" s="376"/>
    </row>
    <row r="225" spans="1:32" x14ac:dyDescent="0.25">
      <c r="A225" s="302" t="str">
        <f t="shared" si="53"/>
        <v/>
      </c>
      <c r="B225" s="304" t="str">
        <f t="shared" si="54"/>
        <v/>
      </c>
      <c r="C225" s="285"/>
      <c r="D225" s="353"/>
      <c r="E225" s="33"/>
      <c r="F225" s="34"/>
      <c r="G225" s="355"/>
      <c r="H225" s="359"/>
      <c r="I225" s="265"/>
      <c r="J225" s="266"/>
      <c r="K225" s="363"/>
      <c r="L225" s="367"/>
      <c r="M225" s="276"/>
      <c r="N225" s="277"/>
      <c r="O225" s="278"/>
      <c r="P225" s="279"/>
      <c r="Q225" s="253"/>
      <c r="R225" s="51"/>
      <c r="S225" s="51"/>
      <c r="T225" s="51"/>
      <c r="U225" s="51"/>
      <c r="V225" s="51"/>
      <c r="W225" s="50"/>
      <c r="X225" s="50"/>
      <c r="Y225" s="50"/>
      <c r="Z225" s="50"/>
      <c r="AA225" s="50"/>
      <c r="AB225" s="52"/>
      <c r="AC225" s="296"/>
      <c r="AD225" s="373"/>
      <c r="AE225" s="306" t="str">
        <f t="shared" si="52"/>
        <v/>
      </c>
      <c r="AF225" s="376"/>
    </row>
    <row r="226" spans="1:32" x14ac:dyDescent="0.25">
      <c r="A226" s="302" t="str">
        <f t="shared" si="53"/>
        <v/>
      </c>
      <c r="B226" s="304" t="str">
        <f t="shared" si="54"/>
        <v/>
      </c>
      <c r="C226" s="285"/>
      <c r="D226" s="353"/>
      <c r="E226" s="33"/>
      <c r="F226" s="34"/>
      <c r="G226" s="355"/>
      <c r="H226" s="359"/>
      <c r="I226" s="265"/>
      <c r="J226" s="266"/>
      <c r="K226" s="363"/>
      <c r="L226" s="367"/>
      <c r="M226" s="276"/>
      <c r="N226" s="277"/>
      <c r="O226" s="278"/>
      <c r="P226" s="279"/>
      <c r="Q226" s="253"/>
      <c r="R226" s="51"/>
      <c r="S226" s="51"/>
      <c r="T226" s="51"/>
      <c r="U226" s="51"/>
      <c r="V226" s="51"/>
      <c r="W226" s="50"/>
      <c r="X226" s="50"/>
      <c r="Y226" s="50"/>
      <c r="Z226" s="50"/>
      <c r="AA226" s="50"/>
      <c r="AB226" s="52"/>
      <c r="AC226" s="296"/>
      <c r="AD226" s="373"/>
      <c r="AE226" s="306" t="str">
        <f t="shared" si="52"/>
        <v/>
      </c>
      <c r="AF226" s="376"/>
    </row>
    <row r="227" spans="1:32" x14ac:dyDescent="0.25">
      <c r="A227" s="302" t="str">
        <f t="shared" si="53"/>
        <v/>
      </c>
      <c r="B227" s="304" t="str">
        <f t="shared" si="54"/>
        <v/>
      </c>
      <c r="C227" s="285"/>
      <c r="D227" s="353"/>
      <c r="E227" s="33"/>
      <c r="F227" s="34"/>
      <c r="G227" s="355"/>
      <c r="H227" s="359"/>
      <c r="I227" s="265"/>
      <c r="J227" s="266"/>
      <c r="K227" s="363"/>
      <c r="L227" s="367"/>
      <c r="M227" s="276"/>
      <c r="N227" s="277"/>
      <c r="O227" s="278"/>
      <c r="P227" s="279"/>
      <c r="Q227" s="253"/>
      <c r="R227" s="51"/>
      <c r="S227" s="51"/>
      <c r="T227" s="51"/>
      <c r="U227" s="51"/>
      <c r="V227" s="51"/>
      <c r="W227" s="50"/>
      <c r="X227" s="50"/>
      <c r="Y227" s="50"/>
      <c r="Z227" s="50"/>
      <c r="AA227" s="50"/>
      <c r="AB227" s="52"/>
      <c r="AC227" s="296"/>
      <c r="AD227" s="373"/>
      <c r="AE227" s="306" t="str">
        <f t="shared" si="52"/>
        <v/>
      </c>
      <c r="AF227" s="376"/>
    </row>
    <row r="228" spans="1:32" x14ac:dyDescent="0.25">
      <c r="A228" s="302" t="str">
        <f t="shared" si="53"/>
        <v/>
      </c>
      <c r="B228" s="304" t="str">
        <f t="shared" si="54"/>
        <v/>
      </c>
      <c r="C228" s="285"/>
      <c r="D228" s="353"/>
      <c r="E228" s="33"/>
      <c r="F228" s="34"/>
      <c r="G228" s="355"/>
      <c r="H228" s="359"/>
      <c r="I228" s="265"/>
      <c r="J228" s="266"/>
      <c r="K228" s="363"/>
      <c r="L228" s="367"/>
      <c r="M228" s="276"/>
      <c r="N228" s="277"/>
      <c r="O228" s="278"/>
      <c r="P228" s="279"/>
      <c r="Q228" s="253"/>
      <c r="R228" s="51"/>
      <c r="S228" s="51"/>
      <c r="T228" s="51"/>
      <c r="U228" s="51"/>
      <c r="V228" s="51"/>
      <c r="W228" s="50"/>
      <c r="X228" s="50"/>
      <c r="Y228" s="50"/>
      <c r="Z228" s="50"/>
      <c r="AA228" s="50"/>
      <c r="AB228" s="52"/>
      <c r="AC228" s="296"/>
      <c r="AD228" s="373"/>
      <c r="AE228" s="306" t="str">
        <f t="shared" si="52"/>
        <v/>
      </c>
      <c r="AF228" s="376"/>
    </row>
    <row r="229" spans="1:32" x14ac:dyDescent="0.25">
      <c r="A229" s="302" t="str">
        <f t="shared" si="53"/>
        <v/>
      </c>
      <c r="B229" s="304" t="str">
        <f t="shared" si="54"/>
        <v/>
      </c>
      <c r="C229" s="285"/>
      <c r="D229" s="353"/>
      <c r="E229" s="33"/>
      <c r="F229" s="34"/>
      <c r="G229" s="355"/>
      <c r="H229" s="359"/>
      <c r="I229" s="265"/>
      <c r="J229" s="266"/>
      <c r="K229" s="363"/>
      <c r="L229" s="367"/>
      <c r="M229" s="276"/>
      <c r="N229" s="277"/>
      <c r="O229" s="278"/>
      <c r="P229" s="279"/>
      <c r="Q229" s="253"/>
      <c r="R229" s="51"/>
      <c r="S229" s="51"/>
      <c r="T229" s="51"/>
      <c r="U229" s="51"/>
      <c r="V229" s="51"/>
      <c r="W229" s="50"/>
      <c r="X229" s="50"/>
      <c r="Y229" s="50"/>
      <c r="Z229" s="50"/>
      <c r="AA229" s="50"/>
      <c r="AB229" s="52"/>
      <c r="AC229" s="296"/>
      <c r="AD229" s="373"/>
      <c r="AE229" s="306" t="str">
        <f t="shared" si="52"/>
        <v/>
      </c>
      <c r="AF229" s="376"/>
    </row>
    <row r="230" spans="1:32" x14ac:dyDescent="0.25">
      <c r="A230" s="302" t="str">
        <f t="shared" si="53"/>
        <v/>
      </c>
      <c r="B230" s="304" t="str">
        <f>IF(C230&lt;&gt;"", dwgdelimiter,"")</f>
        <v/>
      </c>
      <c r="C230" s="285"/>
      <c r="D230" s="353"/>
      <c r="E230" s="33"/>
      <c r="F230" s="34"/>
      <c r="G230" s="355"/>
      <c r="H230" s="359"/>
      <c r="I230" s="265"/>
      <c r="J230" s="266"/>
      <c r="K230" s="363"/>
      <c r="L230" s="367"/>
      <c r="M230" s="276"/>
      <c r="N230" s="277"/>
      <c r="O230" s="278"/>
      <c r="P230" s="279"/>
      <c r="Q230" s="253"/>
      <c r="R230" s="51"/>
      <c r="S230" s="51"/>
      <c r="T230" s="51"/>
      <c r="U230" s="51"/>
      <c r="V230" s="51"/>
      <c r="W230" s="50"/>
      <c r="X230" s="50"/>
      <c r="Y230" s="50"/>
      <c r="Z230" s="50"/>
      <c r="AA230" s="50"/>
      <c r="AB230" s="52"/>
      <c r="AC230" s="296"/>
      <c r="AD230" s="373"/>
      <c r="AE230" s="306" t="str">
        <f t="shared" si="52"/>
        <v/>
      </c>
      <c r="AF230" s="376"/>
    </row>
    <row r="231" spans="1:32" x14ac:dyDescent="0.25">
      <c r="A231" s="302" t="str">
        <f t="shared" si="53"/>
        <v/>
      </c>
      <c r="B231" s="304" t="str">
        <f t="shared" si="54"/>
        <v/>
      </c>
      <c r="C231" s="285"/>
      <c r="D231" s="353"/>
      <c r="E231" s="33"/>
      <c r="F231" s="34"/>
      <c r="G231" s="355"/>
      <c r="H231" s="359"/>
      <c r="I231" s="265"/>
      <c r="J231" s="266"/>
      <c r="K231" s="363"/>
      <c r="L231" s="367"/>
      <c r="M231" s="276"/>
      <c r="N231" s="277"/>
      <c r="O231" s="278"/>
      <c r="P231" s="279"/>
      <c r="Q231" s="253"/>
      <c r="R231" s="51"/>
      <c r="S231" s="51"/>
      <c r="T231" s="51"/>
      <c r="U231" s="51"/>
      <c r="V231" s="51"/>
      <c r="W231" s="50"/>
      <c r="X231" s="50"/>
      <c r="Y231" s="50"/>
      <c r="Z231" s="50"/>
      <c r="AA231" s="50"/>
      <c r="AB231" s="52"/>
      <c r="AC231" s="296"/>
      <c r="AD231" s="373"/>
      <c r="AE231" s="306" t="str">
        <f t="shared" si="52"/>
        <v/>
      </c>
      <c r="AF231" s="376"/>
    </row>
    <row r="232" spans="1:32" x14ac:dyDescent="0.25">
      <c r="A232" s="302" t="str">
        <f t="shared" si="53"/>
        <v/>
      </c>
      <c r="B232" s="304" t="str">
        <f t="shared" si="54"/>
        <v/>
      </c>
      <c r="C232" s="285"/>
      <c r="D232" s="353"/>
      <c r="E232" s="33"/>
      <c r="F232" s="34"/>
      <c r="G232" s="355"/>
      <c r="H232" s="359"/>
      <c r="I232" s="265"/>
      <c r="J232" s="266"/>
      <c r="K232" s="363"/>
      <c r="L232" s="367"/>
      <c r="M232" s="276"/>
      <c r="N232" s="277"/>
      <c r="O232" s="278"/>
      <c r="P232" s="279"/>
      <c r="Q232" s="253"/>
      <c r="R232" s="51"/>
      <c r="S232" s="51"/>
      <c r="T232" s="51"/>
      <c r="U232" s="51"/>
      <c r="V232" s="51"/>
      <c r="W232" s="50"/>
      <c r="X232" s="50"/>
      <c r="Y232" s="50"/>
      <c r="Z232" s="50"/>
      <c r="AA232" s="50"/>
      <c r="AB232" s="52"/>
      <c r="AC232" s="296"/>
      <c r="AD232" s="373"/>
      <c r="AE232" s="306" t="str">
        <f t="shared" si="52"/>
        <v/>
      </c>
      <c r="AF232" s="376"/>
    </row>
    <row r="233" spans="1:32" x14ac:dyDescent="0.25">
      <c r="A233" s="302" t="str">
        <f t="shared" si="53"/>
        <v/>
      </c>
      <c r="B233" s="304" t="str">
        <f t="shared" si="54"/>
        <v/>
      </c>
      <c r="C233" s="285"/>
      <c r="D233" s="353"/>
      <c r="E233" s="33"/>
      <c r="F233" s="34"/>
      <c r="G233" s="355"/>
      <c r="H233" s="359"/>
      <c r="I233" s="265"/>
      <c r="J233" s="266"/>
      <c r="K233" s="363"/>
      <c r="L233" s="367"/>
      <c r="M233" s="276"/>
      <c r="N233" s="277"/>
      <c r="O233" s="278"/>
      <c r="P233" s="279"/>
      <c r="Q233" s="253"/>
      <c r="R233" s="51"/>
      <c r="S233" s="51"/>
      <c r="T233" s="51"/>
      <c r="U233" s="51"/>
      <c r="V233" s="51"/>
      <c r="W233" s="50"/>
      <c r="X233" s="50"/>
      <c r="Y233" s="50"/>
      <c r="Z233" s="50"/>
      <c r="AA233" s="50"/>
      <c r="AB233" s="52"/>
      <c r="AC233" s="296"/>
      <c r="AD233" s="373"/>
      <c r="AE233" s="306" t="str">
        <f t="shared" si="52"/>
        <v/>
      </c>
      <c r="AF233" s="376"/>
    </row>
    <row r="234" spans="1:32" x14ac:dyDescent="0.25">
      <c r="A234" s="302" t="str">
        <f t="shared" si="53"/>
        <v/>
      </c>
      <c r="B234" s="304" t="str">
        <f t="shared" si="54"/>
        <v/>
      </c>
      <c r="C234" s="285"/>
      <c r="D234" s="353"/>
      <c r="E234" s="33"/>
      <c r="F234" s="34"/>
      <c r="G234" s="355"/>
      <c r="H234" s="359"/>
      <c r="I234" s="265"/>
      <c r="J234" s="266"/>
      <c r="K234" s="363"/>
      <c r="L234" s="367"/>
      <c r="M234" s="276"/>
      <c r="N234" s="277"/>
      <c r="O234" s="278"/>
      <c r="P234" s="279"/>
      <c r="Q234" s="253"/>
      <c r="R234" s="51"/>
      <c r="S234" s="51"/>
      <c r="T234" s="51"/>
      <c r="U234" s="51"/>
      <c r="V234" s="51"/>
      <c r="W234" s="50"/>
      <c r="X234" s="50"/>
      <c r="Y234" s="50"/>
      <c r="Z234" s="50"/>
      <c r="AA234" s="50"/>
      <c r="AB234" s="52"/>
      <c r="AC234" s="296"/>
      <c r="AD234" s="373"/>
      <c r="AE234" s="306" t="str">
        <f t="shared" ref="AE234:AE283" si="55">IF(OR(UPPER(TRIM(B234))="EDE",UPPER(TRIM(A234))="EDE"),UPPER(C234),IF(C234&lt;&gt;"",A234&amp;B234&amp;IF(C234&lt;=9,"000"&amp;TEXT(C234,0),IF(C234&lt;=99,"00"&amp;TEXT(C234,0),IF(C234&lt;999,"0"&amp;TEXT(C234,0),TEXT(C234,0)))),""))</f>
        <v/>
      </c>
      <c r="AF234" s="376"/>
    </row>
    <row r="235" spans="1:32" x14ac:dyDescent="0.25">
      <c r="A235" s="302" t="str">
        <f t="shared" si="53"/>
        <v/>
      </c>
      <c r="B235" s="304" t="str">
        <f t="shared" si="54"/>
        <v/>
      </c>
      <c r="C235" s="285"/>
      <c r="D235" s="353"/>
      <c r="E235" s="33"/>
      <c r="F235" s="34"/>
      <c r="G235" s="355"/>
      <c r="H235" s="359"/>
      <c r="I235" s="265"/>
      <c r="J235" s="266"/>
      <c r="K235" s="363"/>
      <c r="L235" s="367"/>
      <c r="M235" s="276"/>
      <c r="N235" s="277"/>
      <c r="O235" s="278"/>
      <c r="P235" s="279"/>
      <c r="Q235" s="253"/>
      <c r="R235" s="51"/>
      <c r="S235" s="51"/>
      <c r="T235" s="51"/>
      <c r="U235" s="51"/>
      <c r="V235" s="51"/>
      <c r="W235" s="50"/>
      <c r="X235" s="50"/>
      <c r="Y235" s="50"/>
      <c r="Z235" s="50"/>
      <c r="AA235" s="50"/>
      <c r="AB235" s="52"/>
      <c r="AC235" s="296"/>
      <c r="AD235" s="373"/>
      <c r="AE235" s="306" t="str">
        <f t="shared" si="55"/>
        <v/>
      </c>
      <c r="AF235" s="376"/>
    </row>
    <row r="236" spans="1:32" x14ac:dyDescent="0.25">
      <c r="A236" s="302" t="str">
        <f t="shared" si="53"/>
        <v/>
      </c>
      <c r="B236" s="304" t="str">
        <f t="shared" si="54"/>
        <v/>
      </c>
      <c r="C236" s="285"/>
      <c r="D236" s="353"/>
      <c r="E236" s="33"/>
      <c r="F236" s="34"/>
      <c r="G236" s="355"/>
      <c r="H236" s="359"/>
      <c r="I236" s="265"/>
      <c r="J236" s="266"/>
      <c r="K236" s="363"/>
      <c r="L236" s="367"/>
      <c r="M236" s="276"/>
      <c r="N236" s="277"/>
      <c r="O236" s="278"/>
      <c r="P236" s="279"/>
      <c r="Q236" s="253"/>
      <c r="R236" s="51"/>
      <c r="S236" s="51"/>
      <c r="T236" s="51"/>
      <c r="U236" s="51"/>
      <c r="V236" s="51"/>
      <c r="W236" s="50"/>
      <c r="X236" s="50"/>
      <c r="Y236" s="50"/>
      <c r="Z236" s="50"/>
      <c r="AA236" s="50"/>
      <c r="AB236" s="52"/>
      <c r="AC236" s="296"/>
      <c r="AD236" s="373"/>
      <c r="AE236" s="306" t="str">
        <f t="shared" si="55"/>
        <v/>
      </c>
      <c r="AF236" s="376"/>
    </row>
    <row r="237" spans="1:32" x14ac:dyDescent="0.25">
      <c r="A237" s="302" t="str">
        <f t="shared" si="53"/>
        <v/>
      </c>
      <c r="B237" s="304" t="str">
        <f t="shared" si="54"/>
        <v/>
      </c>
      <c r="C237" s="285"/>
      <c r="D237" s="353"/>
      <c r="E237" s="33"/>
      <c r="F237" s="34"/>
      <c r="G237" s="355"/>
      <c r="H237" s="359"/>
      <c r="I237" s="265"/>
      <c r="J237" s="266"/>
      <c r="K237" s="363"/>
      <c r="L237" s="367"/>
      <c r="M237" s="276"/>
      <c r="N237" s="277"/>
      <c r="O237" s="278"/>
      <c r="P237" s="279"/>
      <c r="Q237" s="253"/>
      <c r="R237" s="51"/>
      <c r="S237" s="51"/>
      <c r="T237" s="51"/>
      <c r="U237" s="51"/>
      <c r="V237" s="51"/>
      <c r="W237" s="50"/>
      <c r="X237" s="50"/>
      <c r="Y237" s="50"/>
      <c r="Z237" s="50"/>
      <c r="AA237" s="50"/>
      <c r="AB237" s="52"/>
      <c r="AC237" s="296"/>
      <c r="AD237" s="373"/>
      <c r="AE237" s="306" t="str">
        <f t="shared" si="55"/>
        <v/>
      </c>
      <c r="AF237" s="376"/>
    </row>
    <row r="238" spans="1:32" x14ac:dyDescent="0.25">
      <c r="A238" s="302" t="str">
        <f t="shared" si="53"/>
        <v/>
      </c>
      <c r="B238" s="304" t="str">
        <f t="shared" si="54"/>
        <v/>
      </c>
      <c r="C238" s="285"/>
      <c r="D238" s="353"/>
      <c r="E238" s="33"/>
      <c r="F238" s="34"/>
      <c r="G238" s="355"/>
      <c r="H238" s="359"/>
      <c r="I238" s="265"/>
      <c r="J238" s="266"/>
      <c r="K238" s="363"/>
      <c r="L238" s="367"/>
      <c r="M238" s="276"/>
      <c r="N238" s="277"/>
      <c r="O238" s="278"/>
      <c r="P238" s="279"/>
      <c r="Q238" s="253"/>
      <c r="R238" s="51"/>
      <c r="S238" s="51"/>
      <c r="T238" s="51"/>
      <c r="U238" s="51"/>
      <c r="V238" s="51"/>
      <c r="W238" s="50"/>
      <c r="X238" s="50"/>
      <c r="Y238" s="50"/>
      <c r="Z238" s="50"/>
      <c r="AA238" s="50"/>
      <c r="AB238" s="52"/>
      <c r="AC238" s="296"/>
      <c r="AD238" s="373"/>
      <c r="AE238" s="306" t="str">
        <f t="shared" si="55"/>
        <v/>
      </c>
      <c r="AF238" s="376"/>
    </row>
    <row r="239" spans="1:32" x14ac:dyDescent="0.25">
      <c r="A239" s="302" t="str">
        <f t="shared" si="53"/>
        <v/>
      </c>
      <c r="B239" s="304" t="str">
        <f t="shared" si="54"/>
        <v/>
      </c>
      <c r="C239" s="285"/>
      <c r="D239" s="353"/>
      <c r="E239" s="33"/>
      <c r="F239" s="34"/>
      <c r="G239" s="355"/>
      <c r="H239" s="359"/>
      <c r="I239" s="265"/>
      <c r="J239" s="266"/>
      <c r="K239" s="363"/>
      <c r="L239" s="367"/>
      <c r="M239" s="276"/>
      <c r="N239" s="277"/>
      <c r="O239" s="278"/>
      <c r="P239" s="279"/>
      <c r="Q239" s="253"/>
      <c r="R239" s="51"/>
      <c r="S239" s="51"/>
      <c r="T239" s="51"/>
      <c r="U239" s="51"/>
      <c r="V239" s="51"/>
      <c r="W239" s="50"/>
      <c r="X239" s="50"/>
      <c r="Y239" s="50"/>
      <c r="Z239" s="50"/>
      <c r="AA239" s="50"/>
      <c r="AB239" s="52"/>
      <c r="AC239" s="296"/>
      <c r="AD239" s="373"/>
      <c r="AE239" s="306" t="str">
        <f t="shared" si="55"/>
        <v/>
      </c>
      <c r="AF239" s="376"/>
    </row>
    <row r="240" spans="1:32" x14ac:dyDescent="0.25">
      <c r="A240" s="302" t="str">
        <f t="shared" si="53"/>
        <v/>
      </c>
      <c r="B240" s="304" t="str">
        <f t="shared" si="54"/>
        <v/>
      </c>
      <c r="C240" s="285"/>
      <c r="D240" s="353"/>
      <c r="E240" s="33"/>
      <c r="F240" s="34"/>
      <c r="G240" s="355"/>
      <c r="H240" s="359"/>
      <c r="I240" s="265"/>
      <c r="J240" s="266"/>
      <c r="K240" s="363"/>
      <c r="L240" s="367"/>
      <c r="M240" s="276"/>
      <c r="N240" s="277"/>
      <c r="O240" s="278"/>
      <c r="P240" s="279"/>
      <c r="Q240" s="253"/>
      <c r="R240" s="51"/>
      <c r="S240" s="51"/>
      <c r="T240" s="51"/>
      <c r="U240" s="51"/>
      <c r="V240" s="51"/>
      <c r="W240" s="50"/>
      <c r="X240" s="50"/>
      <c r="Y240" s="50"/>
      <c r="Z240" s="50"/>
      <c r="AA240" s="50"/>
      <c r="AB240" s="52"/>
      <c r="AC240" s="296"/>
      <c r="AD240" s="373"/>
      <c r="AE240" s="306" t="str">
        <f t="shared" si="55"/>
        <v/>
      </c>
      <c r="AF240" s="376"/>
    </row>
    <row r="241" spans="1:32" x14ac:dyDescent="0.25">
      <c r="A241" s="302" t="str">
        <f t="shared" si="53"/>
        <v/>
      </c>
      <c r="B241" s="304" t="str">
        <f t="shared" si="54"/>
        <v/>
      </c>
      <c r="C241" s="285"/>
      <c r="D241" s="353"/>
      <c r="E241" s="33"/>
      <c r="F241" s="34"/>
      <c r="G241" s="355"/>
      <c r="H241" s="359"/>
      <c r="I241" s="265"/>
      <c r="J241" s="266"/>
      <c r="K241" s="363"/>
      <c r="L241" s="367"/>
      <c r="M241" s="276"/>
      <c r="N241" s="277"/>
      <c r="O241" s="278"/>
      <c r="P241" s="279"/>
      <c r="Q241" s="253"/>
      <c r="R241" s="51"/>
      <c r="S241" s="51"/>
      <c r="T241" s="51"/>
      <c r="U241" s="51"/>
      <c r="V241" s="51"/>
      <c r="W241" s="50"/>
      <c r="X241" s="50"/>
      <c r="Y241" s="50"/>
      <c r="Z241" s="50"/>
      <c r="AA241" s="50"/>
      <c r="AB241" s="52"/>
      <c r="AC241" s="296"/>
      <c r="AD241" s="373"/>
      <c r="AE241" s="306" t="str">
        <f t="shared" si="55"/>
        <v/>
      </c>
      <c r="AF241" s="376"/>
    </row>
    <row r="242" spans="1:32" x14ac:dyDescent="0.25">
      <c r="A242" s="302" t="str">
        <f t="shared" si="53"/>
        <v/>
      </c>
      <c r="B242" s="304" t="str">
        <f t="shared" si="54"/>
        <v/>
      </c>
      <c r="C242" s="285"/>
      <c r="D242" s="353"/>
      <c r="E242" s="33"/>
      <c r="F242" s="34"/>
      <c r="G242" s="355"/>
      <c r="H242" s="359"/>
      <c r="I242" s="265"/>
      <c r="J242" s="266"/>
      <c r="K242" s="363"/>
      <c r="L242" s="367"/>
      <c r="M242" s="276"/>
      <c r="N242" s="277"/>
      <c r="O242" s="278"/>
      <c r="P242" s="279"/>
      <c r="Q242" s="253"/>
      <c r="R242" s="51"/>
      <c r="S242" s="51"/>
      <c r="T242" s="51"/>
      <c r="U242" s="51"/>
      <c r="V242" s="51"/>
      <c r="W242" s="50"/>
      <c r="X242" s="50"/>
      <c r="Y242" s="50"/>
      <c r="Z242" s="50"/>
      <c r="AA242" s="50"/>
      <c r="AB242" s="52"/>
      <c r="AC242" s="296"/>
      <c r="AD242" s="373"/>
      <c r="AE242" s="306" t="str">
        <f t="shared" si="55"/>
        <v/>
      </c>
      <c r="AF242" s="376"/>
    </row>
    <row r="243" spans="1:32" x14ac:dyDescent="0.25">
      <c r="A243" s="302" t="str">
        <f t="shared" ref="A243:A283" si="56">IF(C243&lt;&gt;"",dwgnoprefix,"")</f>
        <v/>
      </c>
      <c r="B243" s="304" t="str">
        <f t="shared" si="54"/>
        <v/>
      </c>
      <c r="C243" s="285"/>
      <c r="D243" s="353"/>
      <c r="E243" s="33"/>
      <c r="F243" s="34"/>
      <c r="G243" s="355"/>
      <c r="H243" s="359"/>
      <c r="I243" s="265"/>
      <c r="J243" s="266"/>
      <c r="K243" s="363"/>
      <c r="L243" s="367"/>
      <c r="M243" s="276"/>
      <c r="N243" s="277"/>
      <c r="O243" s="278"/>
      <c r="P243" s="279"/>
      <c r="Q243" s="253"/>
      <c r="R243" s="51"/>
      <c r="S243" s="51"/>
      <c r="T243" s="51"/>
      <c r="U243" s="51"/>
      <c r="V243" s="51"/>
      <c r="W243" s="50"/>
      <c r="X243" s="50"/>
      <c r="Y243" s="50"/>
      <c r="Z243" s="50"/>
      <c r="AA243" s="50"/>
      <c r="AB243" s="52"/>
      <c r="AC243" s="296"/>
      <c r="AD243" s="373"/>
      <c r="AE243" s="306" t="str">
        <f t="shared" si="55"/>
        <v/>
      </c>
      <c r="AF243" s="376"/>
    </row>
    <row r="244" spans="1:32" x14ac:dyDescent="0.25">
      <c r="A244" s="302" t="str">
        <f t="shared" si="56"/>
        <v/>
      </c>
      <c r="B244" s="304" t="str">
        <f t="shared" ref="B244:B283" si="57">IF(C244&lt;&gt;"", dwgdelimiter,"")</f>
        <v/>
      </c>
      <c r="C244" s="285"/>
      <c r="D244" s="353"/>
      <c r="E244" s="33"/>
      <c r="F244" s="34"/>
      <c r="G244" s="355"/>
      <c r="H244" s="359"/>
      <c r="I244" s="265"/>
      <c r="J244" s="266"/>
      <c r="K244" s="363"/>
      <c r="L244" s="367"/>
      <c r="M244" s="276"/>
      <c r="N244" s="277"/>
      <c r="O244" s="278"/>
      <c r="P244" s="279"/>
      <c r="Q244" s="253"/>
      <c r="R244" s="51"/>
      <c r="S244" s="51"/>
      <c r="T244" s="51"/>
      <c r="U244" s="51"/>
      <c r="V244" s="51"/>
      <c r="W244" s="50"/>
      <c r="X244" s="50"/>
      <c r="Y244" s="50"/>
      <c r="Z244" s="50"/>
      <c r="AA244" s="50"/>
      <c r="AB244" s="52"/>
      <c r="AC244" s="296"/>
      <c r="AD244" s="373"/>
      <c r="AE244" s="306" t="str">
        <f t="shared" si="55"/>
        <v/>
      </c>
      <c r="AF244" s="376"/>
    </row>
    <row r="245" spans="1:32" x14ac:dyDescent="0.25">
      <c r="A245" s="302" t="str">
        <f t="shared" si="56"/>
        <v/>
      </c>
      <c r="B245" s="304" t="str">
        <f t="shared" si="57"/>
        <v/>
      </c>
      <c r="C245" s="285"/>
      <c r="D245" s="353"/>
      <c r="E245" s="33"/>
      <c r="F245" s="34"/>
      <c r="G245" s="355"/>
      <c r="H245" s="359"/>
      <c r="I245" s="265"/>
      <c r="J245" s="266"/>
      <c r="K245" s="363"/>
      <c r="L245" s="367"/>
      <c r="M245" s="276"/>
      <c r="N245" s="277"/>
      <c r="O245" s="278"/>
      <c r="P245" s="279"/>
      <c r="Q245" s="253"/>
      <c r="R245" s="51"/>
      <c r="S245" s="51"/>
      <c r="T245" s="51"/>
      <c r="U245" s="51"/>
      <c r="V245" s="51"/>
      <c r="W245" s="50"/>
      <c r="X245" s="50"/>
      <c r="Y245" s="50"/>
      <c r="Z245" s="50"/>
      <c r="AA245" s="50"/>
      <c r="AB245" s="52"/>
      <c r="AC245" s="296"/>
      <c r="AD245" s="373"/>
      <c r="AE245" s="306" t="str">
        <f t="shared" si="55"/>
        <v/>
      </c>
      <c r="AF245" s="376"/>
    </row>
    <row r="246" spans="1:32" x14ac:dyDescent="0.25">
      <c r="A246" s="302" t="str">
        <f t="shared" si="56"/>
        <v/>
      </c>
      <c r="B246" s="304" t="str">
        <f t="shared" si="57"/>
        <v/>
      </c>
      <c r="C246" s="285"/>
      <c r="D246" s="353"/>
      <c r="E246" s="33"/>
      <c r="F246" s="34"/>
      <c r="G246" s="355"/>
      <c r="H246" s="359"/>
      <c r="I246" s="265"/>
      <c r="J246" s="266"/>
      <c r="K246" s="363"/>
      <c r="L246" s="367"/>
      <c r="M246" s="276"/>
      <c r="N246" s="277"/>
      <c r="O246" s="278"/>
      <c r="P246" s="279"/>
      <c r="Q246" s="253"/>
      <c r="R246" s="51"/>
      <c r="S246" s="51"/>
      <c r="T246" s="51"/>
      <c r="U246" s="51"/>
      <c r="V246" s="51"/>
      <c r="W246" s="50"/>
      <c r="X246" s="50"/>
      <c r="Y246" s="50"/>
      <c r="Z246" s="50"/>
      <c r="AA246" s="50"/>
      <c r="AB246" s="52"/>
      <c r="AC246" s="296"/>
      <c r="AD246" s="373"/>
      <c r="AE246" s="306" t="str">
        <f t="shared" si="55"/>
        <v/>
      </c>
      <c r="AF246" s="376"/>
    </row>
    <row r="247" spans="1:32" x14ac:dyDescent="0.25">
      <c r="A247" s="302" t="str">
        <f t="shared" si="56"/>
        <v/>
      </c>
      <c r="B247" s="304" t="str">
        <f t="shared" si="57"/>
        <v/>
      </c>
      <c r="C247" s="285"/>
      <c r="D247" s="353"/>
      <c r="E247" s="33"/>
      <c r="F247" s="34"/>
      <c r="G247" s="355"/>
      <c r="H247" s="359"/>
      <c r="I247" s="265"/>
      <c r="J247" s="266"/>
      <c r="K247" s="363"/>
      <c r="L247" s="367"/>
      <c r="M247" s="276"/>
      <c r="N247" s="277"/>
      <c r="O247" s="278"/>
      <c r="P247" s="279"/>
      <c r="Q247" s="253"/>
      <c r="R247" s="51"/>
      <c r="S247" s="51"/>
      <c r="T247" s="51"/>
      <c r="U247" s="51"/>
      <c r="V247" s="51"/>
      <c r="W247" s="50"/>
      <c r="X247" s="50"/>
      <c r="Y247" s="50"/>
      <c r="Z247" s="50"/>
      <c r="AA247" s="50"/>
      <c r="AB247" s="52"/>
      <c r="AC247" s="296"/>
      <c r="AD247" s="373"/>
      <c r="AE247" s="306" t="str">
        <f t="shared" si="55"/>
        <v/>
      </c>
      <c r="AF247" s="376"/>
    </row>
    <row r="248" spans="1:32" x14ac:dyDescent="0.25">
      <c r="A248" s="302" t="str">
        <f t="shared" ref="A248:A270" si="58">IF(C248&lt;&gt;"",dwgnoprefix,"")</f>
        <v/>
      </c>
      <c r="B248" s="304" t="str">
        <f t="shared" ref="B248:B270" si="59">IF(C248&lt;&gt;"", dwgdelimiter,"")</f>
        <v/>
      </c>
      <c r="C248" s="285"/>
      <c r="D248" s="353"/>
      <c r="E248" s="33"/>
      <c r="F248" s="34"/>
      <c r="G248" s="355"/>
      <c r="H248" s="359"/>
      <c r="I248" s="265"/>
      <c r="J248" s="266"/>
      <c r="K248" s="363"/>
      <c r="L248" s="367"/>
      <c r="M248" s="276"/>
      <c r="N248" s="277"/>
      <c r="O248" s="278"/>
      <c r="P248" s="279"/>
      <c r="Q248" s="253"/>
      <c r="R248" s="51"/>
      <c r="S248" s="51"/>
      <c r="T248" s="51"/>
      <c r="U248" s="51"/>
      <c r="V248" s="51"/>
      <c r="W248" s="50"/>
      <c r="X248" s="50"/>
      <c r="Y248" s="50"/>
      <c r="Z248" s="50"/>
      <c r="AA248" s="50"/>
      <c r="AB248" s="52"/>
      <c r="AC248" s="296"/>
      <c r="AD248" s="373"/>
      <c r="AE248" s="306" t="str">
        <f t="shared" ref="AE248:AE270" si="60">IF(OR(UPPER(TRIM(B248))="EDE",UPPER(TRIM(A248))="EDE"),UPPER(C248),IF(C248&lt;&gt;"",A248&amp;B248&amp;IF(C248&lt;=9,"000"&amp;TEXT(C248,0),IF(C248&lt;=99,"00"&amp;TEXT(C248,0),IF(C248&lt;999,"0"&amp;TEXT(C248,0),TEXT(C248,0)))),""))</f>
        <v/>
      </c>
      <c r="AF248" s="376"/>
    </row>
    <row r="249" spans="1:32" x14ac:dyDescent="0.25">
      <c r="A249" s="302" t="str">
        <f t="shared" si="58"/>
        <v/>
      </c>
      <c r="B249" s="304" t="str">
        <f t="shared" si="59"/>
        <v/>
      </c>
      <c r="C249" s="285"/>
      <c r="D249" s="353"/>
      <c r="E249" s="33"/>
      <c r="F249" s="34"/>
      <c r="G249" s="355"/>
      <c r="H249" s="359"/>
      <c r="I249" s="265"/>
      <c r="J249" s="266"/>
      <c r="K249" s="363"/>
      <c r="L249" s="367"/>
      <c r="M249" s="276"/>
      <c r="N249" s="277"/>
      <c r="O249" s="278"/>
      <c r="P249" s="279"/>
      <c r="Q249" s="253"/>
      <c r="R249" s="51"/>
      <c r="S249" s="51"/>
      <c r="T249" s="51"/>
      <c r="U249" s="51"/>
      <c r="V249" s="51"/>
      <c r="W249" s="50"/>
      <c r="X249" s="50"/>
      <c r="Y249" s="50"/>
      <c r="Z249" s="50"/>
      <c r="AA249" s="50"/>
      <c r="AB249" s="52"/>
      <c r="AC249" s="296"/>
      <c r="AD249" s="373"/>
      <c r="AE249" s="306" t="str">
        <f t="shared" si="60"/>
        <v/>
      </c>
      <c r="AF249" s="376"/>
    </row>
    <row r="250" spans="1:32" x14ac:dyDescent="0.25">
      <c r="A250" s="302" t="str">
        <f t="shared" si="58"/>
        <v/>
      </c>
      <c r="B250" s="304" t="str">
        <f t="shared" si="59"/>
        <v/>
      </c>
      <c r="C250" s="285"/>
      <c r="D250" s="353"/>
      <c r="E250" s="33"/>
      <c r="F250" s="34"/>
      <c r="G250" s="355"/>
      <c r="H250" s="359"/>
      <c r="I250" s="265"/>
      <c r="J250" s="266"/>
      <c r="K250" s="363"/>
      <c r="L250" s="367"/>
      <c r="M250" s="276"/>
      <c r="N250" s="277"/>
      <c r="O250" s="278"/>
      <c r="P250" s="279"/>
      <c r="Q250" s="253"/>
      <c r="R250" s="51"/>
      <c r="S250" s="51"/>
      <c r="T250" s="51"/>
      <c r="U250" s="51"/>
      <c r="V250" s="51"/>
      <c r="W250" s="50"/>
      <c r="X250" s="50"/>
      <c r="Y250" s="50"/>
      <c r="Z250" s="50"/>
      <c r="AA250" s="50"/>
      <c r="AB250" s="52"/>
      <c r="AC250" s="296"/>
      <c r="AD250" s="373"/>
      <c r="AE250" s="306" t="str">
        <f t="shared" si="60"/>
        <v/>
      </c>
      <c r="AF250" s="376"/>
    </row>
    <row r="251" spans="1:32" x14ac:dyDescent="0.25">
      <c r="A251" s="302" t="str">
        <f t="shared" si="58"/>
        <v/>
      </c>
      <c r="B251" s="304" t="str">
        <f t="shared" si="59"/>
        <v/>
      </c>
      <c r="C251" s="285"/>
      <c r="D251" s="353"/>
      <c r="E251" s="33"/>
      <c r="F251" s="34"/>
      <c r="G251" s="355"/>
      <c r="H251" s="359"/>
      <c r="I251" s="265"/>
      <c r="J251" s="266"/>
      <c r="K251" s="363"/>
      <c r="L251" s="367"/>
      <c r="M251" s="276"/>
      <c r="N251" s="277"/>
      <c r="O251" s="278"/>
      <c r="P251" s="279"/>
      <c r="Q251" s="253"/>
      <c r="R251" s="51"/>
      <c r="S251" s="51"/>
      <c r="T251" s="51"/>
      <c r="U251" s="51"/>
      <c r="V251" s="51"/>
      <c r="W251" s="50"/>
      <c r="X251" s="50"/>
      <c r="Y251" s="50"/>
      <c r="Z251" s="50"/>
      <c r="AA251" s="50"/>
      <c r="AB251" s="52"/>
      <c r="AC251" s="296"/>
      <c r="AD251" s="373"/>
      <c r="AE251" s="306" t="str">
        <f t="shared" si="60"/>
        <v/>
      </c>
      <c r="AF251" s="376"/>
    </row>
    <row r="252" spans="1:32" x14ac:dyDescent="0.25">
      <c r="A252" s="302" t="str">
        <f t="shared" si="58"/>
        <v/>
      </c>
      <c r="B252" s="304" t="str">
        <f t="shared" si="59"/>
        <v/>
      </c>
      <c r="C252" s="285"/>
      <c r="D252" s="353"/>
      <c r="E252" s="33"/>
      <c r="F252" s="34"/>
      <c r="G252" s="355"/>
      <c r="H252" s="359"/>
      <c r="I252" s="265"/>
      <c r="J252" s="266"/>
      <c r="K252" s="363"/>
      <c r="L252" s="367"/>
      <c r="M252" s="276"/>
      <c r="N252" s="277"/>
      <c r="O252" s="278"/>
      <c r="P252" s="279"/>
      <c r="Q252" s="253"/>
      <c r="R252" s="51"/>
      <c r="S252" s="51"/>
      <c r="T252" s="51"/>
      <c r="U252" s="51"/>
      <c r="V252" s="51"/>
      <c r="W252" s="50"/>
      <c r="X252" s="50"/>
      <c r="Y252" s="50"/>
      <c r="Z252" s="50"/>
      <c r="AA252" s="50"/>
      <c r="AB252" s="52"/>
      <c r="AC252" s="296"/>
      <c r="AD252" s="373"/>
      <c r="AE252" s="306" t="str">
        <f t="shared" si="60"/>
        <v/>
      </c>
      <c r="AF252" s="376"/>
    </row>
    <row r="253" spans="1:32" x14ac:dyDescent="0.25">
      <c r="A253" s="302" t="str">
        <f t="shared" si="58"/>
        <v/>
      </c>
      <c r="B253" s="304" t="str">
        <f t="shared" si="59"/>
        <v/>
      </c>
      <c r="C253" s="285"/>
      <c r="D253" s="353"/>
      <c r="E253" s="33"/>
      <c r="F253" s="34"/>
      <c r="G253" s="355"/>
      <c r="H253" s="359"/>
      <c r="I253" s="265"/>
      <c r="J253" s="266"/>
      <c r="K253" s="363"/>
      <c r="L253" s="367"/>
      <c r="M253" s="276"/>
      <c r="N253" s="277"/>
      <c r="O253" s="278"/>
      <c r="P253" s="279"/>
      <c r="Q253" s="253"/>
      <c r="R253" s="51"/>
      <c r="S253" s="51"/>
      <c r="T253" s="51"/>
      <c r="U253" s="51"/>
      <c r="V253" s="51"/>
      <c r="W253" s="50"/>
      <c r="X253" s="50"/>
      <c r="Y253" s="50"/>
      <c r="Z253" s="50"/>
      <c r="AA253" s="50"/>
      <c r="AB253" s="52"/>
      <c r="AC253" s="296"/>
      <c r="AD253" s="373"/>
      <c r="AE253" s="306" t="str">
        <f t="shared" si="60"/>
        <v/>
      </c>
      <c r="AF253" s="376"/>
    </row>
    <row r="254" spans="1:32" x14ac:dyDescent="0.25">
      <c r="A254" s="302" t="str">
        <f t="shared" si="58"/>
        <v/>
      </c>
      <c r="B254" s="304" t="str">
        <f t="shared" si="59"/>
        <v/>
      </c>
      <c r="C254" s="285"/>
      <c r="D254" s="353"/>
      <c r="E254" s="33"/>
      <c r="F254" s="34"/>
      <c r="G254" s="355"/>
      <c r="H254" s="359"/>
      <c r="I254" s="265"/>
      <c r="J254" s="266"/>
      <c r="K254" s="363"/>
      <c r="L254" s="367"/>
      <c r="M254" s="276"/>
      <c r="N254" s="277"/>
      <c r="O254" s="278"/>
      <c r="P254" s="279"/>
      <c r="Q254" s="253"/>
      <c r="R254" s="51"/>
      <c r="S254" s="51"/>
      <c r="T254" s="51"/>
      <c r="U254" s="51"/>
      <c r="V254" s="51"/>
      <c r="W254" s="50"/>
      <c r="X254" s="50"/>
      <c r="Y254" s="50"/>
      <c r="Z254" s="50"/>
      <c r="AA254" s="50"/>
      <c r="AB254" s="52"/>
      <c r="AC254" s="296"/>
      <c r="AD254" s="373"/>
      <c r="AE254" s="306" t="str">
        <f t="shared" si="60"/>
        <v/>
      </c>
      <c r="AF254" s="376"/>
    </row>
    <row r="255" spans="1:32" x14ac:dyDescent="0.25">
      <c r="A255" s="302" t="str">
        <f t="shared" si="58"/>
        <v/>
      </c>
      <c r="B255" s="304" t="str">
        <f t="shared" si="59"/>
        <v/>
      </c>
      <c r="C255" s="285"/>
      <c r="D255" s="353"/>
      <c r="E255" s="33"/>
      <c r="F255" s="34"/>
      <c r="G255" s="355"/>
      <c r="H255" s="359"/>
      <c r="I255" s="265"/>
      <c r="J255" s="266"/>
      <c r="K255" s="363"/>
      <c r="L255" s="367"/>
      <c r="M255" s="276"/>
      <c r="N255" s="277"/>
      <c r="O255" s="278"/>
      <c r="P255" s="279"/>
      <c r="Q255" s="253"/>
      <c r="R255" s="51"/>
      <c r="S255" s="51"/>
      <c r="T255" s="51"/>
      <c r="U255" s="51"/>
      <c r="V255" s="51"/>
      <c r="W255" s="50"/>
      <c r="X255" s="50"/>
      <c r="Y255" s="50"/>
      <c r="Z255" s="50"/>
      <c r="AA255" s="50"/>
      <c r="AB255" s="52"/>
      <c r="AC255" s="296"/>
      <c r="AD255" s="373"/>
      <c r="AE255" s="306" t="str">
        <f t="shared" si="60"/>
        <v/>
      </c>
      <c r="AF255" s="376"/>
    </row>
    <row r="256" spans="1:32" x14ac:dyDescent="0.25">
      <c r="A256" s="302" t="str">
        <f t="shared" si="58"/>
        <v/>
      </c>
      <c r="B256" s="304" t="str">
        <f t="shared" si="59"/>
        <v/>
      </c>
      <c r="C256" s="285"/>
      <c r="D256" s="353"/>
      <c r="E256" s="33"/>
      <c r="F256" s="34"/>
      <c r="G256" s="355"/>
      <c r="H256" s="359"/>
      <c r="I256" s="265"/>
      <c r="J256" s="266"/>
      <c r="K256" s="363"/>
      <c r="L256" s="367"/>
      <c r="M256" s="276"/>
      <c r="N256" s="277"/>
      <c r="O256" s="278"/>
      <c r="P256" s="279"/>
      <c r="Q256" s="253"/>
      <c r="R256" s="51"/>
      <c r="S256" s="51"/>
      <c r="T256" s="51"/>
      <c r="U256" s="51"/>
      <c r="V256" s="51"/>
      <c r="W256" s="50"/>
      <c r="X256" s="50"/>
      <c r="Y256" s="50"/>
      <c r="Z256" s="50"/>
      <c r="AA256" s="50"/>
      <c r="AB256" s="52"/>
      <c r="AC256" s="296"/>
      <c r="AD256" s="373"/>
      <c r="AE256" s="306" t="str">
        <f t="shared" si="60"/>
        <v/>
      </c>
      <c r="AF256" s="376"/>
    </row>
    <row r="257" spans="1:32" x14ac:dyDescent="0.25">
      <c r="A257" s="302" t="str">
        <f t="shared" si="58"/>
        <v/>
      </c>
      <c r="B257" s="304" t="str">
        <f t="shared" si="59"/>
        <v/>
      </c>
      <c r="C257" s="285"/>
      <c r="D257" s="353"/>
      <c r="E257" s="33"/>
      <c r="F257" s="34"/>
      <c r="G257" s="355"/>
      <c r="H257" s="359"/>
      <c r="I257" s="265"/>
      <c r="J257" s="266"/>
      <c r="K257" s="363"/>
      <c r="L257" s="367"/>
      <c r="M257" s="276"/>
      <c r="N257" s="277"/>
      <c r="O257" s="278"/>
      <c r="P257" s="279"/>
      <c r="Q257" s="253"/>
      <c r="R257" s="51"/>
      <c r="S257" s="51"/>
      <c r="T257" s="51"/>
      <c r="U257" s="51"/>
      <c r="V257" s="51"/>
      <c r="W257" s="50"/>
      <c r="X257" s="50"/>
      <c r="Y257" s="50"/>
      <c r="Z257" s="50"/>
      <c r="AA257" s="50"/>
      <c r="AB257" s="52"/>
      <c r="AC257" s="296"/>
      <c r="AD257" s="373"/>
      <c r="AE257" s="306" t="str">
        <f t="shared" si="60"/>
        <v/>
      </c>
      <c r="AF257" s="376"/>
    </row>
    <row r="258" spans="1:32" x14ac:dyDescent="0.25">
      <c r="A258" s="302" t="str">
        <f t="shared" si="58"/>
        <v/>
      </c>
      <c r="B258" s="304" t="str">
        <f t="shared" si="59"/>
        <v/>
      </c>
      <c r="C258" s="285"/>
      <c r="D258" s="353"/>
      <c r="E258" s="33"/>
      <c r="F258" s="34"/>
      <c r="G258" s="355"/>
      <c r="H258" s="359"/>
      <c r="I258" s="265"/>
      <c r="J258" s="266"/>
      <c r="K258" s="363"/>
      <c r="L258" s="367"/>
      <c r="M258" s="276"/>
      <c r="N258" s="277"/>
      <c r="O258" s="278"/>
      <c r="P258" s="279"/>
      <c r="Q258" s="253"/>
      <c r="R258" s="51"/>
      <c r="S258" s="51"/>
      <c r="T258" s="51"/>
      <c r="U258" s="51"/>
      <c r="V258" s="51"/>
      <c r="W258" s="50"/>
      <c r="X258" s="50"/>
      <c r="Y258" s="50"/>
      <c r="Z258" s="50"/>
      <c r="AA258" s="50"/>
      <c r="AB258" s="52"/>
      <c r="AC258" s="296"/>
      <c r="AD258" s="373"/>
      <c r="AE258" s="306" t="str">
        <f t="shared" si="60"/>
        <v/>
      </c>
      <c r="AF258" s="376"/>
    </row>
    <row r="259" spans="1:32" x14ac:dyDescent="0.25">
      <c r="A259" s="302" t="str">
        <f t="shared" si="58"/>
        <v/>
      </c>
      <c r="B259" s="304" t="str">
        <f t="shared" si="59"/>
        <v/>
      </c>
      <c r="C259" s="285"/>
      <c r="D259" s="353"/>
      <c r="E259" s="33"/>
      <c r="F259" s="34"/>
      <c r="G259" s="355"/>
      <c r="H259" s="359"/>
      <c r="I259" s="265"/>
      <c r="J259" s="266"/>
      <c r="K259" s="363"/>
      <c r="L259" s="367"/>
      <c r="M259" s="276"/>
      <c r="N259" s="277"/>
      <c r="O259" s="278"/>
      <c r="P259" s="279"/>
      <c r="Q259" s="253"/>
      <c r="R259" s="51"/>
      <c r="S259" s="51"/>
      <c r="T259" s="51"/>
      <c r="U259" s="51"/>
      <c r="V259" s="51"/>
      <c r="W259" s="50"/>
      <c r="X259" s="50"/>
      <c r="Y259" s="50"/>
      <c r="Z259" s="50"/>
      <c r="AA259" s="50"/>
      <c r="AB259" s="52"/>
      <c r="AC259" s="296"/>
      <c r="AD259" s="373"/>
      <c r="AE259" s="306" t="str">
        <f t="shared" si="60"/>
        <v/>
      </c>
      <c r="AF259" s="376"/>
    </row>
    <row r="260" spans="1:32" x14ac:dyDescent="0.25">
      <c r="A260" s="302" t="str">
        <f t="shared" si="58"/>
        <v/>
      </c>
      <c r="B260" s="304" t="str">
        <f t="shared" si="59"/>
        <v/>
      </c>
      <c r="C260" s="285"/>
      <c r="D260" s="353"/>
      <c r="E260" s="33"/>
      <c r="F260" s="34"/>
      <c r="G260" s="355"/>
      <c r="H260" s="359"/>
      <c r="I260" s="265"/>
      <c r="J260" s="266"/>
      <c r="K260" s="363"/>
      <c r="L260" s="367"/>
      <c r="M260" s="276"/>
      <c r="N260" s="277"/>
      <c r="O260" s="278"/>
      <c r="P260" s="279"/>
      <c r="Q260" s="253"/>
      <c r="R260" s="51"/>
      <c r="S260" s="51"/>
      <c r="T260" s="51"/>
      <c r="U260" s="51"/>
      <c r="V260" s="51"/>
      <c r="W260" s="50"/>
      <c r="X260" s="50"/>
      <c r="Y260" s="50"/>
      <c r="Z260" s="50"/>
      <c r="AA260" s="50"/>
      <c r="AB260" s="52"/>
      <c r="AC260" s="296"/>
      <c r="AD260" s="373"/>
      <c r="AE260" s="306" t="str">
        <f t="shared" si="60"/>
        <v/>
      </c>
      <c r="AF260" s="376"/>
    </row>
    <row r="261" spans="1:32" x14ac:dyDescent="0.25">
      <c r="A261" s="302" t="str">
        <f t="shared" si="58"/>
        <v/>
      </c>
      <c r="B261" s="304" t="str">
        <f t="shared" si="59"/>
        <v/>
      </c>
      <c r="C261" s="285"/>
      <c r="D261" s="353"/>
      <c r="E261" s="33"/>
      <c r="F261" s="34"/>
      <c r="G261" s="355"/>
      <c r="H261" s="359"/>
      <c r="I261" s="265"/>
      <c r="J261" s="266"/>
      <c r="K261" s="363"/>
      <c r="L261" s="367"/>
      <c r="M261" s="276"/>
      <c r="N261" s="277"/>
      <c r="O261" s="278"/>
      <c r="P261" s="279"/>
      <c r="Q261" s="253"/>
      <c r="R261" s="51"/>
      <c r="S261" s="51"/>
      <c r="T261" s="51"/>
      <c r="U261" s="51"/>
      <c r="V261" s="51"/>
      <c r="W261" s="50"/>
      <c r="X261" s="50"/>
      <c r="Y261" s="50"/>
      <c r="Z261" s="50"/>
      <c r="AA261" s="50"/>
      <c r="AB261" s="52"/>
      <c r="AC261" s="296"/>
      <c r="AD261" s="373"/>
      <c r="AE261" s="306" t="str">
        <f t="shared" si="60"/>
        <v/>
      </c>
      <c r="AF261" s="376"/>
    </row>
    <row r="262" spans="1:32" x14ac:dyDescent="0.25">
      <c r="A262" s="302" t="str">
        <f t="shared" si="58"/>
        <v/>
      </c>
      <c r="B262" s="304" t="str">
        <f t="shared" si="59"/>
        <v/>
      </c>
      <c r="C262" s="285"/>
      <c r="D262" s="353"/>
      <c r="E262" s="33"/>
      <c r="F262" s="34"/>
      <c r="G262" s="355"/>
      <c r="H262" s="359"/>
      <c r="I262" s="265"/>
      <c r="J262" s="266"/>
      <c r="K262" s="363"/>
      <c r="L262" s="367"/>
      <c r="M262" s="276"/>
      <c r="N262" s="277"/>
      <c r="O262" s="278"/>
      <c r="P262" s="279"/>
      <c r="Q262" s="253"/>
      <c r="R262" s="51"/>
      <c r="S262" s="51"/>
      <c r="T262" s="51"/>
      <c r="U262" s="51"/>
      <c r="V262" s="51"/>
      <c r="W262" s="50"/>
      <c r="X262" s="50"/>
      <c r="Y262" s="50"/>
      <c r="Z262" s="50"/>
      <c r="AA262" s="50"/>
      <c r="AB262" s="52"/>
      <c r="AC262" s="296"/>
      <c r="AD262" s="373"/>
      <c r="AE262" s="306" t="str">
        <f t="shared" si="60"/>
        <v/>
      </c>
      <c r="AF262" s="376"/>
    </row>
    <row r="263" spans="1:32" x14ac:dyDescent="0.25">
      <c r="A263" s="302" t="str">
        <f t="shared" si="58"/>
        <v/>
      </c>
      <c r="B263" s="304" t="str">
        <f t="shared" si="59"/>
        <v/>
      </c>
      <c r="C263" s="285"/>
      <c r="D263" s="353"/>
      <c r="E263" s="33"/>
      <c r="F263" s="34"/>
      <c r="G263" s="355"/>
      <c r="H263" s="359"/>
      <c r="I263" s="265"/>
      <c r="J263" s="266"/>
      <c r="K263" s="363"/>
      <c r="L263" s="367"/>
      <c r="M263" s="276"/>
      <c r="N263" s="277"/>
      <c r="O263" s="278"/>
      <c r="P263" s="279"/>
      <c r="Q263" s="253"/>
      <c r="R263" s="51"/>
      <c r="S263" s="51"/>
      <c r="T263" s="51"/>
      <c r="U263" s="51"/>
      <c r="V263" s="51"/>
      <c r="W263" s="50"/>
      <c r="X263" s="50"/>
      <c r="Y263" s="50"/>
      <c r="Z263" s="50"/>
      <c r="AA263" s="50"/>
      <c r="AB263" s="52"/>
      <c r="AC263" s="296"/>
      <c r="AD263" s="373"/>
      <c r="AE263" s="306" t="str">
        <f t="shared" si="60"/>
        <v/>
      </c>
      <c r="AF263" s="376"/>
    </row>
    <row r="264" spans="1:32" x14ac:dyDescent="0.25">
      <c r="A264" s="302" t="str">
        <f t="shared" si="58"/>
        <v/>
      </c>
      <c r="B264" s="304" t="str">
        <f t="shared" si="59"/>
        <v/>
      </c>
      <c r="C264" s="285"/>
      <c r="D264" s="353"/>
      <c r="E264" s="33"/>
      <c r="F264" s="34"/>
      <c r="G264" s="355"/>
      <c r="H264" s="359"/>
      <c r="I264" s="265"/>
      <c r="J264" s="266"/>
      <c r="K264" s="363"/>
      <c r="L264" s="367"/>
      <c r="M264" s="276"/>
      <c r="N264" s="277"/>
      <c r="O264" s="278"/>
      <c r="P264" s="279"/>
      <c r="Q264" s="253"/>
      <c r="R264" s="51"/>
      <c r="S264" s="51"/>
      <c r="T264" s="51"/>
      <c r="U264" s="51"/>
      <c r="V264" s="51"/>
      <c r="W264" s="50"/>
      <c r="X264" s="50"/>
      <c r="Y264" s="50"/>
      <c r="Z264" s="50"/>
      <c r="AA264" s="50"/>
      <c r="AB264" s="52"/>
      <c r="AC264" s="296"/>
      <c r="AD264" s="373"/>
      <c r="AE264" s="306" t="str">
        <f t="shared" si="60"/>
        <v/>
      </c>
      <c r="AF264" s="376"/>
    </row>
    <row r="265" spans="1:32" x14ac:dyDescent="0.25">
      <c r="A265" s="302" t="str">
        <f t="shared" si="58"/>
        <v/>
      </c>
      <c r="B265" s="304" t="str">
        <f t="shared" si="59"/>
        <v/>
      </c>
      <c r="C265" s="285"/>
      <c r="D265" s="353"/>
      <c r="E265" s="33"/>
      <c r="F265" s="34"/>
      <c r="G265" s="355"/>
      <c r="H265" s="359"/>
      <c r="I265" s="265"/>
      <c r="J265" s="266"/>
      <c r="K265" s="363"/>
      <c r="L265" s="367"/>
      <c r="M265" s="276"/>
      <c r="N265" s="277"/>
      <c r="O265" s="278"/>
      <c r="P265" s="279"/>
      <c r="Q265" s="253"/>
      <c r="R265" s="51"/>
      <c r="S265" s="51"/>
      <c r="T265" s="51"/>
      <c r="U265" s="51"/>
      <c r="V265" s="51"/>
      <c r="W265" s="50"/>
      <c r="X265" s="50"/>
      <c r="Y265" s="50"/>
      <c r="Z265" s="50"/>
      <c r="AA265" s="50"/>
      <c r="AB265" s="52"/>
      <c r="AC265" s="296"/>
      <c r="AD265" s="373"/>
      <c r="AE265" s="306" t="str">
        <f t="shared" si="60"/>
        <v/>
      </c>
      <c r="AF265" s="376"/>
    </row>
    <row r="266" spans="1:32" x14ac:dyDescent="0.25">
      <c r="A266" s="302" t="str">
        <f t="shared" si="58"/>
        <v/>
      </c>
      <c r="B266" s="304" t="str">
        <f t="shared" si="59"/>
        <v/>
      </c>
      <c r="C266" s="285"/>
      <c r="D266" s="353"/>
      <c r="E266" s="33"/>
      <c r="F266" s="34"/>
      <c r="G266" s="355"/>
      <c r="H266" s="359"/>
      <c r="I266" s="265"/>
      <c r="J266" s="266"/>
      <c r="K266" s="363"/>
      <c r="L266" s="367"/>
      <c r="M266" s="276"/>
      <c r="N266" s="277"/>
      <c r="O266" s="278"/>
      <c r="P266" s="279"/>
      <c r="Q266" s="253"/>
      <c r="R266" s="51"/>
      <c r="S266" s="51"/>
      <c r="T266" s="51"/>
      <c r="U266" s="51"/>
      <c r="V266" s="51"/>
      <c r="W266" s="50"/>
      <c r="X266" s="50"/>
      <c r="Y266" s="50"/>
      <c r="Z266" s="50"/>
      <c r="AA266" s="50"/>
      <c r="AB266" s="52"/>
      <c r="AC266" s="296"/>
      <c r="AD266" s="373"/>
      <c r="AE266" s="306" t="str">
        <f t="shared" si="60"/>
        <v/>
      </c>
      <c r="AF266" s="376"/>
    </row>
    <row r="267" spans="1:32" x14ac:dyDescent="0.25">
      <c r="A267" s="302" t="str">
        <f t="shared" si="58"/>
        <v/>
      </c>
      <c r="B267" s="304" t="str">
        <f t="shared" si="59"/>
        <v/>
      </c>
      <c r="C267" s="285"/>
      <c r="D267" s="353"/>
      <c r="E267" s="33"/>
      <c r="F267" s="34"/>
      <c r="G267" s="355"/>
      <c r="H267" s="359"/>
      <c r="I267" s="265"/>
      <c r="J267" s="266"/>
      <c r="K267" s="363"/>
      <c r="L267" s="367"/>
      <c r="M267" s="276"/>
      <c r="N267" s="277"/>
      <c r="O267" s="278"/>
      <c r="P267" s="279"/>
      <c r="Q267" s="253"/>
      <c r="R267" s="51"/>
      <c r="S267" s="51"/>
      <c r="T267" s="51"/>
      <c r="U267" s="51"/>
      <c r="V267" s="51"/>
      <c r="W267" s="50"/>
      <c r="X267" s="50"/>
      <c r="Y267" s="50"/>
      <c r="Z267" s="50"/>
      <c r="AA267" s="50"/>
      <c r="AB267" s="52"/>
      <c r="AC267" s="296"/>
      <c r="AD267" s="373"/>
      <c r="AE267" s="306" t="str">
        <f t="shared" si="60"/>
        <v/>
      </c>
      <c r="AF267" s="376"/>
    </row>
    <row r="268" spans="1:32" x14ac:dyDescent="0.25">
      <c r="A268" s="302" t="str">
        <f t="shared" si="58"/>
        <v/>
      </c>
      <c r="B268" s="304" t="str">
        <f t="shared" si="59"/>
        <v/>
      </c>
      <c r="C268" s="285"/>
      <c r="D268" s="353"/>
      <c r="E268" s="33"/>
      <c r="F268" s="34"/>
      <c r="G268" s="355"/>
      <c r="H268" s="359"/>
      <c r="I268" s="265"/>
      <c r="J268" s="266"/>
      <c r="K268" s="363"/>
      <c r="L268" s="367"/>
      <c r="M268" s="276"/>
      <c r="N268" s="277"/>
      <c r="O268" s="278"/>
      <c r="P268" s="279"/>
      <c r="Q268" s="253"/>
      <c r="R268" s="51"/>
      <c r="S268" s="51"/>
      <c r="T268" s="51"/>
      <c r="U268" s="51"/>
      <c r="V268" s="51"/>
      <c r="W268" s="50"/>
      <c r="X268" s="50"/>
      <c r="Y268" s="50"/>
      <c r="Z268" s="50"/>
      <c r="AA268" s="50"/>
      <c r="AB268" s="52"/>
      <c r="AC268" s="296"/>
      <c r="AD268" s="373"/>
      <c r="AE268" s="306" t="str">
        <f t="shared" si="60"/>
        <v/>
      </c>
      <c r="AF268" s="376"/>
    </row>
    <row r="269" spans="1:32" x14ac:dyDescent="0.25">
      <c r="A269" s="302" t="str">
        <f t="shared" si="58"/>
        <v/>
      </c>
      <c r="B269" s="304" t="str">
        <f t="shared" si="59"/>
        <v/>
      </c>
      <c r="C269" s="285"/>
      <c r="D269" s="353"/>
      <c r="E269" s="33"/>
      <c r="F269" s="34"/>
      <c r="G269" s="355"/>
      <c r="H269" s="359"/>
      <c r="I269" s="265"/>
      <c r="J269" s="266"/>
      <c r="K269" s="363"/>
      <c r="L269" s="367"/>
      <c r="M269" s="276"/>
      <c r="N269" s="277"/>
      <c r="O269" s="278"/>
      <c r="P269" s="279"/>
      <c r="Q269" s="253"/>
      <c r="R269" s="51"/>
      <c r="S269" s="51"/>
      <c r="T269" s="51"/>
      <c r="U269" s="51"/>
      <c r="V269" s="51"/>
      <c r="W269" s="50"/>
      <c r="X269" s="50"/>
      <c r="Y269" s="50"/>
      <c r="Z269" s="50"/>
      <c r="AA269" s="50"/>
      <c r="AB269" s="52"/>
      <c r="AC269" s="296"/>
      <c r="AD269" s="373"/>
      <c r="AE269" s="306" t="str">
        <f t="shared" si="60"/>
        <v/>
      </c>
      <c r="AF269" s="376"/>
    </row>
    <row r="270" spans="1:32" x14ac:dyDescent="0.25">
      <c r="A270" s="302" t="str">
        <f t="shared" si="58"/>
        <v/>
      </c>
      <c r="B270" s="304" t="str">
        <f t="shared" si="59"/>
        <v/>
      </c>
      <c r="C270" s="285"/>
      <c r="D270" s="353"/>
      <c r="E270" s="33"/>
      <c r="F270" s="34"/>
      <c r="G270" s="355"/>
      <c r="H270" s="359"/>
      <c r="I270" s="265"/>
      <c r="J270" s="266"/>
      <c r="K270" s="363"/>
      <c r="L270" s="367"/>
      <c r="M270" s="276"/>
      <c r="N270" s="277"/>
      <c r="O270" s="278"/>
      <c r="P270" s="279"/>
      <c r="Q270" s="253"/>
      <c r="R270" s="51"/>
      <c r="S270" s="51"/>
      <c r="T270" s="51"/>
      <c r="U270" s="51"/>
      <c r="V270" s="51"/>
      <c r="W270" s="50"/>
      <c r="X270" s="50"/>
      <c r="Y270" s="50"/>
      <c r="Z270" s="50"/>
      <c r="AA270" s="50"/>
      <c r="AB270" s="52"/>
      <c r="AC270" s="296"/>
      <c r="AD270" s="373"/>
      <c r="AE270" s="306" t="str">
        <f t="shared" si="60"/>
        <v/>
      </c>
      <c r="AF270" s="376"/>
    </row>
    <row r="271" spans="1:32" x14ac:dyDescent="0.25">
      <c r="A271" s="302" t="str">
        <f t="shared" si="56"/>
        <v/>
      </c>
      <c r="B271" s="304" t="str">
        <f t="shared" si="57"/>
        <v/>
      </c>
      <c r="C271" s="285"/>
      <c r="D271" s="353"/>
      <c r="E271" s="33"/>
      <c r="F271" s="34"/>
      <c r="G271" s="355"/>
      <c r="H271" s="359"/>
      <c r="I271" s="265"/>
      <c r="J271" s="266"/>
      <c r="K271" s="363"/>
      <c r="L271" s="367"/>
      <c r="M271" s="276"/>
      <c r="N271" s="277"/>
      <c r="O271" s="278"/>
      <c r="P271" s="279"/>
      <c r="Q271" s="253"/>
      <c r="R271" s="51"/>
      <c r="S271" s="51"/>
      <c r="T271" s="51"/>
      <c r="U271" s="51"/>
      <c r="V271" s="51"/>
      <c r="W271" s="50"/>
      <c r="X271" s="50"/>
      <c r="Y271" s="50"/>
      <c r="Z271" s="50"/>
      <c r="AA271" s="50"/>
      <c r="AB271" s="52"/>
      <c r="AC271" s="296"/>
      <c r="AD271" s="373"/>
      <c r="AE271" s="306" t="str">
        <f t="shared" si="55"/>
        <v/>
      </c>
      <c r="AF271" s="376"/>
    </row>
    <row r="272" spans="1:32" x14ac:dyDescent="0.25">
      <c r="A272" s="302" t="str">
        <f t="shared" ref="A272" si="61">IF(C272&lt;&gt;"",dwgnoprefix,"")</f>
        <v/>
      </c>
      <c r="B272" s="304" t="str">
        <f t="shared" ref="B272" si="62">IF(C272&lt;&gt;"", dwgdelimiter,"")</f>
        <v/>
      </c>
      <c r="C272" s="285"/>
      <c r="D272" s="353"/>
      <c r="E272" s="33"/>
      <c r="F272" s="34"/>
      <c r="G272" s="355"/>
      <c r="H272" s="359"/>
      <c r="I272" s="265"/>
      <c r="J272" s="266"/>
      <c r="K272" s="363"/>
      <c r="L272" s="367"/>
      <c r="M272" s="276"/>
      <c r="N272" s="277"/>
      <c r="O272" s="278"/>
      <c r="P272" s="279"/>
      <c r="Q272" s="253"/>
      <c r="R272" s="51"/>
      <c r="S272" s="51"/>
      <c r="T272" s="51"/>
      <c r="U272" s="51"/>
      <c r="V272" s="51"/>
      <c r="W272" s="50"/>
      <c r="X272" s="50"/>
      <c r="Y272" s="50"/>
      <c r="Z272" s="50"/>
      <c r="AA272" s="50"/>
      <c r="AB272" s="52"/>
      <c r="AC272" s="296"/>
      <c r="AD272" s="373"/>
      <c r="AE272" s="306" t="str">
        <f t="shared" ref="AE272" si="63">IF(OR(UPPER(TRIM(B272))="EDE",UPPER(TRIM(A272))="EDE"),UPPER(C272),IF(C272&lt;&gt;"",A272&amp;B272&amp;IF(C272&lt;=9,"000"&amp;TEXT(C272,0),IF(C272&lt;=99,"00"&amp;TEXT(C272,0),IF(C272&lt;999,"0"&amp;TEXT(C272,0),TEXT(C272,0)))),""))</f>
        <v/>
      </c>
      <c r="AF272" s="376"/>
    </row>
    <row r="273" spans="1:32" x14ac:dyDescent="0.25">
      <c r="A273" s="302" t="str">
        <f t="shared" si="56"/>
        <v/>
      </c>
      <c r="B273" s="304" t="str">
        <f t="shared" si="57"/>
        <v/>
      </c>
      <c r="C273" s="285"/>
      <c r="D273" s="353"/>
      <c r="E273" s="33"/>
      <c r="F273" s="34"/>
      <c r="G273" s="355"/>
      <c r="H273" s="359"/>
      <c r="I273" s="265"/>
      <c r="J273" s="266"/>
      <c r="K273" s="363"/>
      <c r="L273" s="367"/>
      <c r="M273" s="276"/>
      <c r="N273" s="277"/>
      <c r="O273" s="278"/>
      <c r="P273" s="279"/>
      <c r="Q273" s="253"/>
      <c r="R273" s="51"/>
      <c r="S273" s="51"/>
      <c r="T273" s="51"/>
      <c r="U273" s="51"/>
      <c r="V273" s="51"/>
      <c r="W273" s="50"/>
      <c r="X273" s="50"/>
      <c r="Y273" s="50"/>
      <c r="Z273" s="50"/>
      <c r="AA273" s="50"/>
      <c r="AB273" s="52"/>
      <c r="AC273" s="296"/>
      <c r="AD273" s="373"/>
      <c r="AE273" s="306" t="str">
        <f t="shared" si="55"/>
        <v/>
      </c>
      <c r="AF273" s="376"/>
    </row>
    <row r="274" spans="1:32" x14ac:dyDescent="0.25">
      <c r="A274" s="302" t="str">
        <f t="shared" si="56"/>
        <v/>
      </c>
      <c r="B274" s="304" t="str">
        <f t="shared" si="57"/>
        <v/>
      </c>
      <c r="C274" s="285"/>
      <c r="D274" s="353"/>
      <c r="E274" s="33"/>
      <c r="F274" s="34"/>
      <c r="G274" s="355"/>
      <c r="H274" s="359"/>
      <c r="I274" s="265"/>
      <c r="J274" s="266"/>
      <c r="K274" s="363"/>
      <c r="L274" s="367"/>
      <c r="M274" s="276"/>
      <c r="N274" s="277"/>
      <c r="O274" s="278"/>
      <c r="P274" s="279"/>
      <c r="Q274" s="253"/>
      <c r="R274" s="51"/>
      <c r="S274" s="51"/>
      <c r="T274" s="51"/>
      <c r="U274" s="51"/>
      <c r="V274" s="51"/>
      <c r="W274" s="50"/>
      <c r="X274" s="50"/>
      <c r="Y274" s="50"/>
      <c r="Z274" s="50"/>
      <c r="AA274" s="50"/>
      <c r="AB274" s="52"/>
      <c r="AC274" s="296"/>
      <c r="AD274" s="373"/>
      <c r="AE274" s="306" t="str">
        <f t="shared" si="55"/>
        <v/>
      </c>
      <c r="AF274" s="376"/>
    </row>
    <row r="275" spans="1:32" x14ac:dyDescent="0.25">
      <c r="A275" s="302" t="str">
        <f t="shared" ref="A275" si="64">IF(C275&lt;&gt;"",dwgnoprefix,"")</f>
        <v/>
      </c>
      <c r="B275" s="304" t="str">
        <f t="shared" ref="B275" si="65">IF(C275&lt;&gt;"", dwgdelimiter,"")</f>
        <v/>
      </c>
      <c r="C275" s="285"/>
      <c r="D275" s="353"/>
      <c r="E275" s="33"/>
      <c r="F275" s="34"/>
      <c r="G275" s="355"/>
      <c r="H275" s="359"/>
      <c r="I275" s="265"/>
      <c r="J275" s="266"/>
      <c r="K275" s="363"/>
      <c r="L275" s="367"/>
      <c r="M275" s="276"/>
      <c r="N275" s="277"/>
      <c r="O275" s="278"/>
      <c r="P275" s="279"/>
      <c r="Q275" s="253"/>
      <c r="R275" s="51"/>
      <c r="S275" s="51"/>
      <c r="T275" s="51"/>
      <c r="U275" s="51"/>
      <c r="V275" s="51"/>
      <c r="W275" s="50"/>
      <c r="X275" s="50"/>
      <c r="Y275" s="50"/>
      <c r="Z275" s="50"/>
      <c r="AA275" s="50"/>
      <c r="AB275" s="52"/>
      <c r="AC275" s="296"/>
      <c r="AD275" s="373"/>
      <c r="AE275" s="306" t="str">
        <f t="shared" ref="AE275" si="66">IF(OR(UPPER(TRIM(B275))="EDE",UPPER(TRIM(A275))="EDE"),UPPER(C275),IF(C275&lt;&gt;"",A275&amp;B275&amp;IF(C275&lt;=9,"000"&amp;TEXT(C275,0),IF(C275&lt;=99,"00"&amp;TEXT(C275,0),IF(C275&lt;999,"0"&amp;TEXT(C275,0),TEXT(C275,0)))),""))</f>
        <v/>
      </c>
      <c r="AF275" s="376"/>
    </row>
    <row r="276" spans="1:32" x14ac:dyDescent="0.25">
      <c r="A276" s="302" t="str">
        <f t="shared" si="56"/>
        <v/>
      </c>
      <c r="B276" s="304" t="str">
        <f t="shared" si="57"/>
        <v/>
      </c>
      <c r="C276" s="285"/>
      <c r="D276" s="353"/>
      <c r="E276" s="33"/>
      <c r="F276" s="34"/>
      <c r="G276" s="355"/>
      <c r="H276" s="359"/>
      <c r="I276" s="265"/>
      <c r="J276" s="266"/>
      <c r="K276" s="363"/>
      <c r="L276" s="367"/>
      <c r="M276" s="276"/>
      <c r="N276" s="277"/>
      <c r="O276" s="278"/>
      <c r="P276" s="279"/>
      <c r="Q276" s="253"/>
      <c r="R276" s="51"/>
      <c r="S276" s="51"/>
      <c r="T276" s="51"/>
      <c r="U276" s="51"/>
      <c r="V276" s="51"/>
      <c r="W276" s="50"/>
      <c r="X276" s="50"/>
      <c r="Y276" s="50"/>
      <c r="Z276" s="50"/>
      <c r="AA276" s="50"/>
      <c r="AB276" s="52"/>
      <c r="AC276" s="296"/>
      <c r="AD276" s="373"/>
      <c r="AE276" s="306" t="str">
        <f t="shared" si="55"/>
        <v/>
      </c>
      <c r="AF276" s="376"/>
    </row>
    <row r="277" spans="1:32" x14ac:dyDescent="0.25">
      <c r="A277" s="302" t="str">
        <f t="shared" ref="A277:A280" si="67">IF(C277&lt;&gt;"",dwgnoprefix,"")</f>
        <v/>
      </c>
      <c r="B277" s="304" t="str">
        <f t="shared" ref="B277:B280" si="68">IF(C277&lt;&gt;"", dwgdelimiter,"")</f>
        <v/>
      </c>
      <c r="C277" s="285"/>
      <c r="D277" s="353"/>
      <c r="E277" s="33"/>
      <c r="F277" s="34"/>
      <c r="G277" s="355"/>
      <c r="H277" s="359"/>
      <c r="I277" s="265"/>
      <c r="J277" s="266"/>
      <c r="K277" s="363"/>
      <c r="L277" s="367"/>
      <c r="M277" s="276"/>
      <c r="N277" s="277"/>
      <c r="O277" s="278"/>
      <c r="P277" s="279"/>
      <c r="Q277" s="253"/>
      <c r="R277" s="51"/>
      <c r="S277" s="51"/>
      <c r="T277" s="51"/>
      <c r="U277" s="51"/>
      <c r="V277" s="51"/>
      <c r="W277" s="50"/>
      <c r="X277" s="50"/>
      <c r="Y277" s="50"/>
      <c r="Z277" s="50"/>
      <c r="AA277" s="50"/>
      <c r="AB277" s="52"/>
      <c r="AC277" s="296"/>
      <c r="AD277" s="373"/>
      <c r="AE277" s="306" t="str">
        <f t="shared" ref="AE277:AE280" si="69">IF(OR(UPPER(TRIM(B277))="EDE",UPPER(TRIM(A277))="EDE"),UPPER(C277),IF(C277&lt;&gt;"",A277&amp;B277&amp;IF(C277&lt;=9,"000"&amp;TEXT(C277,0),IF(C277&lt;=99,"00"&amp;TEXT(C277,0),IF(C277&lt;999,"0"&amp;TEXT(C277,0),TEXT(C277,0)))),""))</f>
        <v/>
      </c>
      <c r="AF277" s="376"/>
    </row>
    <row r="278" spans="1:32" x14ac:dyDescent="0.25">
      <c r="A278" s="302" t="str">
        <f t="shared" si="67"/>
        <v/>
      </c>
      <c r="B278" s="304" t="str">
        <f t="shared" si="68"/>
        <v/>
      </c>
      <c r="C278" s="285"/>
      <c r="D278" s="353"/>
      <c r="E278" s="33"/>
      <c r="F278" s="34"/>
      <c r="G278" s="355"/>
      <c r="H278" s="359"/>
      <c r="I278" s="265"/>
      <c r="J278" s="266"/>
      <c r="K278" s="363"/>
      <c r="L278" s="367"/>
      <c r="M278" s="276"/>
      <c r="N278" s="277"/>
      <c r="O278" s="278"/>
      <c r="P278" s="279"/>
      <c r="Q278" s="253"/>
      <c r="R278" s="51"/>
      <c r="S278" s="51"/>
      <c r="T278" s="51"/>
      <c r="U278" s="51"/>
      <c r="V278" s="51"/>
      <c r="W278" s="50"/>
      <c r="X278" s="50"/>
      <c r="Y278" s="50"/>
      <c r="Z278" s="50"/>
      <c r="AA278" s="50"/>
      <c r="AB278" s="52"/>
      <c r="AC278" s="296"/>
      <c r="AD278" s="373"/>
      <c r="AE278" s="306" t="str">
        <f t="shared" si="69"/>
        <v/>
      </c>
      <c r="AF278" s="376"/>
    </row>
    <row r="279" spans="1:32" x14ac:dyDescent="0.25">
      <c r="A279" s="302" t="str">
        <f t="shared" si="67"/>
        <v/>
      </c>
      <c r="B279" s="304" t="str">
        <f t="shared" si="68"/>
        <v/>
      </c>
      <c r="C279" s="285"/>
      <c r="D279" s="353"/>
      <c r="E279" s="33"/>
      <c r="F279" s="34"/>
      <c r="G279" s="355"/>
      <c r="H279" s="359"/>
      <c r="I279" s="265"/>
      <c r="J279" s="266"/>
      <c r="K279" s="363"/>
      <c r="L279" s="367"/>
      <c r="M279" s="276"/>
      <c r="N279" s="277"/>
      <c r="O279" s="278"/>
      <c r="P279" s="279"/>
      <c r="Q279" s="253"/>
      <c r="R279" s="51"/>
      <c r="S279" s="51"/>
      <c r="T279" s="51"/>
      <c r="U279" s="51"/>
      <c r="V279" s="51"/>
      <c r="W279" s="50"/>
      <c r="X279" s="50"/>
      <c r="Y279" s="50"/>
      <c r="Z279" s="50"/>
      <c r="AA279" s="50"/>
      <c r="AB279" s="52"/>
      <c r="AC279" s="296"/>
      <c r="AD279" s="373"/>
      <c r="AE279" s="306" t="str">
        <f t="shared" si="69"/>
        <v/>
      </c>
      <c r="AF279" s="376"/>
    </row>
    <row r="280" spans="1:32" x14ac:dyDescent="0.25">
      <c r="A280" s="302" t="str">
        <f t="shared" si="67"/>
        <v/>
      </c>
      <c r="B280" s="304" t="str">
        <f t="shared" si="68"/>
        <v/>
      </c>
      <c r="C280" s="285"/>
      <c r="D280" s="353"/>
      <c r="E280" s="33"/>
      <c r="F280" s="34"/>
      <c r="G280" s="355"/>
      <c r="H280" s="359"/>
      <c r="I280" s="265"/>
      <c r="J280" s="266"/>
      <c r="K280" s="363"/>
      <c r="L280" s="367"/>
      <c r="M280" s="276"/>
      <c r="N280" s="277"/>
      <c r="O280" s="278"/>
      <c r="P280" s="279"/>
      <c r="Q280" s="253"/>
      <c r="R280" s="51"/>
      <c r="S280" s="51"/>
      <c r="T280" s="51"/>
      <c r="U280" s="51"/>
      <c r="V280" s="51"/>
      <c r="W280" s="50"/>
      <c r="X280" s="50"/>
      <c r="Y280" s="50"/>
      <c r="Z280" s="50"/>
      <c r="AA280" s="50"/>
      <c r="AB280" s="52"/>
      <c r="AC280" s="296"/>
      <c r="AD280" s="373"/>
      <c r="AE280" s="306" t="str">
        <f t="shared" si="69"/>
        <v/>
      </c>
      <c r="AF280" s="376"/>
    </row>
    <row r="281" spans="1:32" x14ac:dyDescent="0.25">
      <c r="A281" s="302" t="str">
        <f t="shared" si="56"/>
        <v/>
      </c>
      <c r="B281" s="304" t="str">
        <f t="shared" si="57"/>
        <v/>
      </c>
      <c r="C281" s="285"/>
      <c r="D281" s="353"/>
      <c r="E281" s="33"/>
      <c r="F281" s="34"/>
      <c r="G281" s="355"/>
      <c r="H281" s="359"/>
      <c r="I281" s="265"/>
      <c r="J281" s="266"/>
      <c r="K281" s="363"/>
      <c r="L281" s="367"/>
      <c r="M281" s="276"/>
      <c r="N281" s="277"/>
      <c r="O281" s="278"/>
      <c r="P281" s="279"/>
      <c r="Q281" s="253"/>
      <c r="R281" s="51"/>
      <c r="S281" s="51"/>
      <c r="T281" s="51"/>
      <c r="U281" s="51"/>
      <c r="V281" s="51"/>
      <c r="W281" s="50"/>
      <c r="X281" s="50"/>
      <c r="Y281" s="50"/>
      <c r="Z281" s="50"/>
      <c r="AA281" s="50"/>
      <c r="AB281" s="52"/>
      <c r="AC281" s="296"/>
      <c r="AD281" s="373"/>
      <c r="AE281" s="306" t="str">
        <f t="shared" si="55"/>
        <v/>
      </c>
      <c r="AF281" s="376"/>
    </row>
    <row r="282" spans="1:32" x14ac:dyDescent="0.25">
      <c r="A282" s="302" t="str">
        <f t="shared" si="56"/>
        <v/>
      </c>
      <c r="B282" s="304" t="str">
        <f t="shared" si="57"/>
        <v/>
      </c>
      <c r="C282" s="285"/>
      <c r="D282" s="353"/>
      <c r="E282" s="33"/>
      <c r="F282" s="34"/>
      <c r="G282" s="355"/>
      <c r="H282" s="359"/>
      <c r="I282" s="265"/>
      <c r="J282" s="266"/>
      <c r="K282" s="363"/>
      <c r="L282" s="367"/>
      <c r="M282" s="276"/>
      <c r="N282" s="277"/>
      <c r="O282" s="278"/>
      <c r="P282" s="279"/>
      <c r="Q282" s="253"/>
      <c r="R282" s="51"/>
      <c r="S282" s="51"/>
      <c r="T282" s="51"/>
      <c r="U282" s="51"/>
      <c r="V282" s="51"/>
      <c r="W282" s="50"/>
      <c r="X282" s="50"/>
      <c r="Y282" s="50"/>
      <c r="Z282" s="50"/>
      <c r="AA282" s="50"/>
      <c r="AB282" s="52"/>
      <c r="AC282" s="296"/>
      <c r="AD282" s="373"/>
      <c r="AE282" s="306" t="str">
        <f t="shared" si="55"/>
        <v/>
      </c>
      <c r="AF282" s="376"/>
    </row>
    <row r="283" spans="1:32" ht="15.75" thickBot="1" x14ac:dyDescent="0.3">
      <c r="A283" s="303" t="str">
        <f t="shared" si="56"/>
        <v/>
      </c>
      <c r="B283" s="305" t="str">
        <f t="shared" si="57"/>
        <v/>
      </c>
      <c r="C283" s="288"/>
      <c r="D283" s="354"/>
      <c r="E283" s="254"/>
      <c r="F283" s="255"/>
      <c r="G283" s="358"/>
      <c r="H283" s="362"/>
      <c r="I283" s="269"/>
      <c r="J283" s="270"/>
      <c r="K283" s="366"/>
      <c r="L283" s="370"/>
      <c r="M283" s="280"/>
      <c r="N283" s="281"/>
      <c r="O283" s="282"/>
      <c r="P283" s="283"/>
      <c r="Q283" s="292"/>
      <c r="R283" s="293"/>
      <c r="S283" s="293"/>
      <c r="T283" s="293"/>
      <c r="U283" s="293"/>
      <c r="V283" s="293"/>
      <c r="W283" s="294"/>
      <c r="X283" s="294"/>
      <c r="Y283" s="294"/>
      <c r="Z283" s="294"/>
      <c r="AA283" s="294"/>
      <c r="AB283" s="295"/>
      <c r="AC283" s="298"/>
      <c r="AD283" s="374"/>
      <c r="AE283" s="307" t="str">
        <f t="shared" si="55"/>
        <v/>
      </c>
      <c r="AF283" s="377"/>
    </row>
  </sheetData>
  <sheetProtection selectLockedCells="1"/>
  <sortState ref="A16:AF52">
    <sortCondition ref="AF16"/>
  </sortState>
  <mergeCells count="9">
    <mergeCell ref="A1:AC1"/>
    <mergeCell ref="A2:AC2"/>
    <mergeCell ref="A3:AC3"/>
    <mergeCell ref="AG5:AH5"/>
    <mergeCell ref="AD1:BE1"/>
    <mergeCell ref="AD2:BE2"/>
    <mergeCell ref="AD3:BE3"/>
    <mergeCell ref="A5:C5"/>
    <mergeCell ref="A4:C4"/>
  </mergeCells>
  <conditionalFormatting sqref="D68:AE68">
    <cfRule type="expression" dxfId="74" priority="90">
      <formula>ISEMPTY(D68)</formula>
    </cfRule>
  </conditionalFormatting>
  <conditionalFormatting sqref="AD16">
    <cfRule type="containsText" dxfId="73" priority="87" operator="containsText" text="REVISION CONTROL AM">
      <formula>NOT(ISERROR(SEARCH("REVISION CONTROL AM",AD16)))</formula>
    </cfRule>
    <cfRule type="expression" dxfId="72" priority="88">
      <formula>SEARCH(AD16,"REVISION CONTROL",0)&gt;0</formula>
    </cfRule>
  </conditionalFormatting>
  <conditionalFormatting sqref="AD14">
    <cfRule type="containsText" dxfId="71" priority="71" operator="containsText" text="REVISION CONTROL AM">
      <formula>NOT(ISERROR(SEARCH("REVISION CONTROL AM",AD14)))</formula>
    </cfRule>
    <cfRule type="expression" dxfId="70" priority="72">
      <formula>SEARCH(AD14,"REVISION CONTROL",0)&gt;0</formula>
    </cfRule>
  </conditionalFormatting>
  <conditionalFormatting sqref="AD11">
    <cfRule type="containsText" dxfId="69" priority="69" operator="containsText" text="REVISION CONTROL AM">
      <formula>NOT(ISERROR(SEARCH("REVISION CONTROL AM",AD11)))</formula>
    </cfRule>
    <cfRule type="expression" dxfId="68" priority="70">
      <formula>SEARCH(AD11,"REVISION CONTROL",0)&gt;0</formula>
    </cfRule>
  </conditionalFormatting>
  <conditionalFormatting sqref="AD10">
    <cfRule type="containsText" dxfId="67" priority="67" operator="containsText" text="REVISION CONTROL AM">
      <formula>NOT(ISERROR(SEARCH("REVISION CONTROL AM",AD10)))</formula>
    </cfRule>
    <cfRule type="expression" dxfId="66" priority="68">
      <formula>SEARCH(AD10,"REVISION CONTROL",0)&gt;0</formula>
    </cfRule>
  </conditionalFormatting>
  <conditionalFormatting sqref="AD9">
    <cfRule type="containsText" dxfId="65" priority="65" operator="containsText" text="REVISION CONTROL AM">
      <formula>NOT(ISERROR(SEARCH("REVISION CONTROL AM",AD9)))</formula>
    </cfRule>
    <cfRule type="expression" dxfId="64" priority="66">
      <formula>SEARCH(AD9,"REVISION CONTROL",0)&gt;0</formula>
    </cfRule>
  </conditionalFormatting>
  <conditionalFormatting sqref="AD7">
    <cfRule type="containsText" dxfId="63" priority="63" operator="containsText" text="REVISION CONTROL AM">
      <formula>NOT(ISERROR(SEARCH("REVISION CONTROL AM",AD7)))</formula>
    </cfRule>
    <cfRule type="expression" dxfId="62" priority="64">
      <formula>SEARCH(AD7,"REVISION CONTROL",0)&gt;0</formula>
    </cfRule>
  </conditionalFormatting>
  <conditionalFormatting sqref="AD8">
    <cfRule type="containsText" dxfId="61" priority="61" operator="containsText" text="REVISION CONTROL AM">
      <formula>NOT(ISERROR(SEARCH("REVISION CONTROL AM",AD8)))</formula>
    </cfRule>
    <cfRule type="expression" dxfId="60" priority="62">
      <formula>SEARCH(AD8,"REVISION CONTROL",0)&gt;0</formula>
    </cfRule>
  </conditionalFormatting>
  <conditionalFormatting sqref="AD6">
    <cfRule type="containsText" dxfId="59" priority="59" operator="containsText" text="REVISION CONTROL AM">
      <formula>NOT(ISERROR(SEARCH("REVISION CONTROL AM",AD6)))</formula>
    </cfRule>
    <cfRule type="expression" dxfId="58" priority="60">
      <formula>SEARCH(AD6,"REVISION CONTROL",0)&gt;0</formula>
    </cfRule>
  </conditionalFormatting>
  <conditionalFormatting sqref="AD13">
    <cfRule type="containsText" dxfId="57" priority="57" operator="containsText" text="REVISION CONTROL AM">
      <formula>NOT(ISERROR(SEARCH("REVISION CONTROL AM",AD13)))</formula>
    </cfRule>
    <cfRule type="expression" dxfId="56" priority="58">
      <formula>SEARCH(AD13,"REVISION CONTROL",0)&gt;0</formula>
    </cfRule>
  </conditionalFormatting>
  <conditionalFormatting sqref="AD12">
    <cfRule type="containsText" dxfId="55" priority="55" operator="containsText" text="REVISION CONTROL AM">
      <formula>NOT(ISERROR(SEARCH("REVISION CONTROL AM",AD12)))</formula>
    </cfRule>
    <cfRule type="expression" dxfId="54" priority="56">
      <formula>SEARCH(AD12,"REVISION CONTROL",0)&gt;0</formula>
    </cfRule>
  </conditionalFormatting>
  <conditionalFormatting sqref="AD15">
    <cfRule type="containsText" dxfId="53" priority="53" operator="containsText" text="REVISION CONTROL AM">
      <formula>NOT(ISERROR(SEARCH("REVISION CONTROL AM",AD15)))</formula>
    </cfRule>
    <cfRule type="expression" dxfId="52" priority="54">
      <formula>SEARCH(AD15,"REVISION CONTROL",0)&gt;0</formula>
    </cfRule>
  </conditionalFormatting>
  <dataValidations count="4">
    <dataValidation type="list" showInputMessage="1" showErrorMessage="1" errorTitle="INCORRECT ENTRY" error="Enter letter code which matches currently selected category data." sqref="D59:D283 D6:D57">
      <formula1>indexlist</formula1>
    </dataValidation>
    <dataValidation type="list" allowBlank="1" showInputMessage="1" showErrorMessage="1" errorTitle="INCORRECT ENTRY" error="Enter letter code which matches currently selected category data." sqref="D58">
      <formula1>indexlist</formula1>
    </dataValidation>
    <dataValidation type="list" allowBlank="1" showInputMessage="1" showErrorMessage="1" sqref="AD6">
      <formula1>INDIRECT("comment[COMMENT]")</formula1>
    </dataValidation>
    <dataValidation type="list" allowBlank="1" showInputMessage="1" showErrorMessage="1" sqref="X6:X283 AB6:AB283 P6:P283 N6:N283 L6:L283 J6:J283 H6:H283 F6:F283 R6:R283 Z6:Z283 T6:T283 V6:V283">
      <formula1>"*,F,R,G"</formula1>
    </dataValidation>
  </dataValidations>
  <pageMargins left="0.25" right="0.25" top="0.75" bottom="0.75" header="0.3" footer="0.3"/>
  <pageSetup scale="16" orientation="portrait" cellComments="atEnd" r:id="rId1"/>
  <headerFooter differentFirst="1">
    <oddHeader>&amp;C&amp;"amlogo1,Regular"&amp;18AM&amp;"-,Regular"&amp;11
&amp;"Arial,Bold Italic"&amp;10&amp;K000</oddHeader>
    <oddFooter>&amp;C&amp;8&amp;</oddFooter>
  </headerFooter>
  <drawing r:id="rId2"/>
  <legacyDrawing r:id="rId3"/>
  <controls>
    <mc:AlternateContent xmlns:mc="http://schemas.openxmlformats.org/markup-compatibility/2006">
      <mc:Choice Requires="x14">
        <control shapeId="9242" r:id="rId4" name="btnRelayCategory">
          <controlPr defaultSize="0" autoLine="0" r:id="rId5">
            <anchor moveWithCells="1">
              <from>
                <xdr:col>28</xdr:col>
                <xdr:colOff>3619500</xdr:colOff>
                <xdr:row>3</xdr:row>
                <xdr:rowOff>342900</xdr:rowOff>
              </from>
              <to>
                <xdr:col>28</xdr:col>
                <xdr:colOff>4400550</xdr:colOff>
                <xdr:row>3</xdr:row>
                <xdr:rowOff>838200</xdr:rowOff>
              </to>
            </anchor>
          </controlPr>
        </control>
      </mc:Choice>
      <mc:Fallback>
        <control shapeId="9242" r:id="rId4" name="btnRelayCategory"/>
      </mc:Fallback>
    </mc:AlternateContent>
    <mc:AlternateContent xmlns:mc="http://schemas.openxmlformats.org/markup-compatibility/2006">
      <mc:Choice Requires="x14">
        <control shapeId="9224" r:id="rId6" name="Button 8">
          <controlPr defaultSize="0" print="0" autoFill="0" autoPict="0" macro="[0]!Sheet1.OpenForm" altText="Open the control panel dialog box">
            <anchor moveWithCells="1" sizeWithCells="1">
              <from>
                <xdr:col>28</xdr:col>
                <xdr:colOff>2628900</xdr:colOff>
                <xdr:row>3</xdr:row>
                <xdr:rowOff>171450</xdr:rowOff>
              </from>
              <to>
                <xdr:col>28</xdr:col>
                <xdr:colOff>3571875</xdr:colOff>
                <xdr:row>3</xdr:row>
                <xdr:rowOff>866775</xdr:rowOff>
              </to>
            </anchor>
          </controlPr>
        </control>
      </mc:Choice>
    </mc:AlternateContent>
    <mc:AlternateContent xmlns:mc="http://schemas.openxmlformats.org/markup-compatibility/2006">
      <mc:Choice Requires="x14">
        <control shapeId="9246" r:id="rId7" name="Button 30">
          <controlPr defaultSize="0" print="0" autoFill="0" autoPict="0" macro="[0]!DwgNoSort">
            <anchor moveWithCells="1">
              <from>
                <xdr:col>30</xdr:col>
                <xdr:colOff>47625</xdr:colOff>
                <xdr:row>3</xdr:row>
                <xdr:rowOff>628650</xdr:rowOff>
              </from>
              <to>
                <xdr:col>30</xdr:col>
                <xdr:colOff>1095375</xdr:colOff>
                <xdr:row>3</xdr:row>
                <xdr:rowOff>1019175</xdr:rowOff>
              </to>
            </anchor>
          </controlPr>
        </control>
      </mc:Choice>
    </mc:AlternateContent>
    <mc:AlternateContent xmlns:mc="http://schemas.openxmlformats.org/markup-compatibility/2006">
      <mc:Choice Requires="x14">
        <control shapeId="9247" r:id="rId8" name="Button 31">
          <controlPr defaultSize="0" print="0" autoFill="0" autoPict="0" macro="[0]!SortKey" altText="Sort data by EDE sort key">
            <anchor moveWithCells="1" sizeWithCells="1">
              <from>
                <xdr:col>31</xdr:col>
                <xdr:colOff>28575</xdr:colOff>
                <xdr:row>3</xdr:row>
                <xdr:rowOff>819150</xdr:rowOff>
              </from>
              <to>
                <xdr:col>32</xdr:col>
                <xdr:colOff>0</xdr:colOff>
                <xdr:row>3</xdr:row>
                <xdr:rowOff>1047750</xdr:rowOff>
              </to>
            </anchor>
          </controlPr>
        </control>
      </mc:Choice>
    </mc:AlternateContent>
    <mc:AlternateContent xmlns:mc="http://schemas.openxmlformats.org/markup-compatibility/2006">
      <mc:Choice Requires="x14">
        <control shapeId="9249" r:id="rId9" name="Button 33">
          <controlPr defaultSize="0" print="0" autoFill="0" autoPict="0" macro="[0]!CatSort">
            <anchor moveWithCells="1" sizeWithCells="1">
              <from>
                <xdr:col>2</xdr:col>
                <xdr:colOff>342900</xdr:colOff>
                <xdr:row>3</xdr:row>
                <xdr:rowOff>219075</xdr:rowOff>
              </from>
              <to>
                <xdr:col>2</xdr:col>
                <xdr:colOff>981075</xdr:colOff>
                <xdr:row>3</xdr:row>
                <xdr:rowOff>781050</xdr:rowOff>
              </to>
            </anchor>
          </controlPr>
        </control>
      </mc:Choice>
    </mc:AlternateContent>
    <mc:AlternateContent xmlns:mc="http://schemas.openxmlformats.org/markup-compatibility/2006">
      <mc:Choice Requires="x14">
        <control shapeId="9254" r:id="rId10" name="Button 38">
          <controlPr defaultSize="0" print="0" autoFill="0" autoPict="0" macro="[0]!EDEIndex" altText="Add EDE sheet index">
            <anchor moveWithCells="1" sizeWithCells="1">
              <from>
                <xdr:col>31</xdr:col>
                <xdr:colOff>9525</xdr:colOff>
                <xdr:row>3</xdr:row>
                <xdr:rowOff>561975</xdr:rowOff>
              </from>
              <to>
                <xdr:col>31</xdr:col>
                <xdr:colOff>904875</xdr:colOff>
                <xdr:row>3</xdr:row>
                <xdr:rowOff>790575</xdr:rowOff>
              </to>
            </anchor>
          </controlPr>
        </control>
      </mc:Choice>
    </mc:AlternateContent>
    <mc:AlternateContent xmlns:mc="http://schemas.openxmlformats.org/markup-compatibility/2006">
      <mc:Choice Requires="x14">
        <control shapeId="9256" r:id="rId11" name="Button 40">
          <controlPr defaultSize="0" print="0" autoFill="0" autoPict="0" macro="[0]!CatDwgNoSort" altText="Sort by EDE category then by EDE index">
            <anchor moveWithCells="1" sizeWithCells="1">
              <from>
                <xdr:col>31</xdr:col>
                <xdr:colOff>28575</xdr:colOff>
                <xdr:row>3</xdr:row>
                <xdr:rowOff>38100</xdr:rowOff>
              </from>
              <to>
                <xdr:col>32</xdr:col>
                <xdr:colOff>0</xdr:colOff>
                <xdr:row>3</xdr:row>
                <xdr:rowOff>266700</xdr:rowOff>
              </to>
            </anchor>
          </controlPr>
        </control>
      </mc:Choice>
    </mc:AlternateContent>
    <mc:AlternateContent xmlns:mc="http://schemas.openxmlformats.org/markup-compatibility/2006">
      <mc:Choice Requires="x14">
        <control shapeId="9265" r:id="rId12" name="Button 49">
          <controlPr defaultSize="0" print="0" autoFill="0" autoPict="0" macro="[0]!clearIndex" altText="Clear EDE sheet index">
            <anchor moveWithCells="1" sizeWithCells="1">
              <from>
                <xdr:col>31</xdr:col>
                <xdr:colOff>28575</xdr:colOff>
                <xdr:row>3</xdr:row>
                <xdr:rowOff>295275</xdr:rowOff>
              </from>
              <to>
                <xdr:col>32</xdr:col>
                <xdr:colOff>0</xdr:colOff>
                <xdr:row>3</xdr:row>
                <xdr:rowOff>523875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2:H292"/>
  <sheetViews>
    <sheetView workbookViewId="0">
      <selection activeCell="K9" sqref="K9"/>
    </sheetView>
  </sheetViews>
  <sheetFormatPr defaultRowHeight="15" x14ac:dyDescent="0.25"/>
  <cols>
    <col min="2" max="2" width="17" bestFit="1" customWidth="1"/>
    <col min="7" max="7" width="93.140625" bestFit="1" customWidth="1"/>
    <col min="8" max="8" width="36.140625" bestFit="1" customWidth="1"/>
  </cols>
  <sheetData>
    <row r="2" spans="2:8" x14ac:dyDescent="0.25">
      <c r="B2" t="s">
        <v>411</v>
      </c>
      <c r="C2" t="s">
        <v>106</v>
      </c>
      <c r="D2">
        <v>0</v>
      </c>
      <c r="G2" t="s">
        <v>161</v>
      </c>
    </row>
    <row r="3" spans="2:8" x14ac:dyDescent="0.25">
      <c r="B3" t="s">
        <v>412</v>
      </c>
      <c r="C3" t="s">
        <v>106</v>
      </c>
      <c r="D3">
        <v>0</v>
      </c>
      <c r="G3" t="s">
        <v>352</v>
      </c>
    </row>
    <row r="4" spans="2:8" x14ac:dyDescent="0.25">
      <c r="B4" t="s">
        <v>413</v>
      </c>
      <c r="C4" t="s">
        <v>107</v>
      </c>
      <c r="D4">
        <v>0</v>
      </c>
      <c r="G4" t="s">
        <v>414</v>
      </c>
      <c r="H4" t="s">
        <v>415</v>
      </c>
    </row>
    <row r="5" spans="2:8" x14ac:dyDescent="0.25">
      <c r="B5" t="s">
        <v>416</v>
      </c>
      <c r="C5" t="s">
        <v>107</v>
      </c>
      <c r="D5">
        <v>7</v>
      </c>
      <c r="G5" t="s">
        <v>417</v>
      </c>
      <c r="H5" t="s">
        <v>418</v>
      </c>
    </row>
    <row r="6" spans="2:8" x14ac:dyDescent="0.25">
      <c r="B6" t="s">
        <v>419</v>
      </c>
      <c r="C6" t="s">
        <v>420</v>
      </c>
      <c r="D6">
        <v>0</v>
      </c>
      <c r="G6" t="s">
        <v>421</v>
      </c>
      <c r="H6" t="s">
        <v>422</v>
      </c>
    </row>
    <row r="7" spans="2:8" x14ac:dyDescent="0.25">
      <c r="B7" t="s">
        <v>423</v>
      </c>
      <c r="C7" t="s">
        <v>420</v>
      </c>
      <c r="D7">
        <v>0</v>
      </c>
      <c r="E7" t="s">
        <v>424</v>
      </c>
      <c r="G7" t="s">
        <v>425</v>
      </c>
    </row>
    <row r="8" spans="2:8" x14ac:dyDescent="0.25">
      <c r="B8" t="s">
        <v>426</v>
      </c>
      <c r="C8" t="s">
        <v>420</v>
      </c>
      <c r="D8">
        <v>0</v>
      </c>
      <c r="E8" t="s">
        <v>424</v>
      </c>
      <c r="G8" t="s">
        <v>427</v>
      </c>
    </row>
    <row r="9" spans="2:8" x14ac:dyDescent="0.25">
      <c r="B9" t="s">
        <v>428</v>
      </c>
      <c r="C9" t="s">
        <v>420</v>
      </c>
      <c r="D9">
        <v>0</v>
      </c>
      <c r="E9" t="s">
        <v>424</v>
      </c>
      <c r="G9" t="s">
        <v>429</v>
      </c>
    </row>
    <row r="10" spans="2:8" x14ac:dyDescent="0.25">
      <c r="B10" t="s">
        <v>430</v>
      </c>
      <c r="C10" t="s">
        <v>420</v>
      </c>
      <c r="D10">
        <v>1</v>
      </c>
      <c r="E10" t="s">
        <v>424</v>
      </c>
      <c r="G10" t="s">
        <v>431</v>
      </c>
    </row>
    <row r="11" spans="2:8" x14ac:dyDescent="0.25">
      <c r="B11" t="s">
        <v>432</v>
      </c>
      <c r="C11" t="s">
        <v>108</v>
      </c>
      <c r="D11">
        <v>0</v>
      </c>
      <c r="G11" t="s">
        <v>375</v>
      </c>
      <c r="H11" t="s">
        <v>433</v>
      </c>
    </row>
    <row r="12" spans="2:8" x14ac:dyDescent="0.25">
      <c r="B12" t="s">
        <v>434</v>
      </c>
      <c r="C12" t="s">
        <v>108</v>
      </c>
      <c r="D12">
        <v>0</v>
      </c>
      <c r="G12" t="s">
        <v>377</v>
      </c>
      <c r="H12" t="s">
        <v>435</v>
      </c>
    </row>
    <row r="13" spans="2:8" x14ac:dyDescent="0.25">
      <c r="B13" t="s">
        <v>436</v>
      </c>
      <c r="C13" t="s">
        <v>108</v>
      </c>
      <c r="D13">
        <v>0</v>
      </c>
      <c r="G13" t="s">
        <v>437</v>
      </c>
      <c r="H13" t="s">
        <v>438</v>
      </c>
    </row>
    <row r="14" spans="2:8" x14ac:dyDescent="0.25">
      <c r="B14" t="s">
        <v>439</v>
      </c>
      <c r="C14" t="s">
        <v>108</v>
      </c>
      <c r="D14">
        <v>0</v>
      </c>
      <c r="G14" t="s">
        <v>440</v>
      </c>
      <c r="H14" t="s">
        <v>441</v>
      </c>
    </row>
    <row r="15" spans="2:8" x14ac:dyDescent="0.25">
      <c r="B15" t="s">
        <v>442</v>
      </c>
      <c r="C15" t="s">
        <v>108</v>
      </c>
      <c r="D15">
        <v>0</v>
      </c>
      <c r="G15" t="s">
        <v>443</v>
      </c>
      <c r="H15" t="s">
        <v>444</v>
      </c>
    </row>
    <row r="16" spans="2:8" x14ac:dyDescent="0.25">
      <c r="B16" t="s">
        <v>445</v>
      </c>
      <c r="C16" t="s">
        <v>108</v>
      </c>
      <c r="D16">
        <v>0</v>
      </c>
      <c r="G16" t="s">
        <v>446</v>
      </c>
      <c r="H16" t="s">
        <v>447</v>
      </c>
    </row>
    <row r="17" spans="2:8" x14ac:dyDescent="0.25">
      <c r="B17" t="s">
        <v>448</v>
      </c>
      <c r="C17" t="s">
        <v>108</v>
      </c>
      <c r="D17">
        <v>0</v>
      </c>
      <c r="G17" t="s">
        <v>449</v>
      </c>
      <c r="H17" t="s">
        <v>450</v>
      </c>
    </row>
    <row r="18" spans="2:8" x14ac:dyDescent="0.25">
      <c r="B18" t="s">
        <v>451</v>
      </c>
      <c r="C18" t="s">
        <v>108</v>
      </c>
      <c r="D18">
        <v>0</v>
      </c>
      <c r="G18" t="s">
        <v>452</v>
      </c>
      <c r="H18" t="s">
        <v>453</v>
      </c>
    </row>
    <row r="19" spans="2:8" x14ac:dyDescent="0.25">
      <c r="B19" t="s">
        <v>454</v>
      </c>
      <c r="C19" t="s">
        <v>108</v>
      </c>
      <c r="D19">
        <v>0</v>
      </c>
      <c r="G19" t="s">
        <v>455</v>
      </c>
      <c r="H19" t="s">
        <v>456</v>
      </c>
    </row>
    <row r="20" spans="2:8" x14ac:dyDescent="0.25">
      <c r="B20" t="s">
        <v>457</v>
      </c>
      <c r="C20" t="s">
        <v>108</v>
      </c>
      <c r="D20">
        <v>0</v>
      </c>
      <c r="G20" t="s">
        <v>458</v>
      </c>
      <c r="H20" t="s">
        <v>459</v>
      </c>
    </row>
    <row r="21" spans="2:8" x14ac:dyDescent="0.25">
      <c r="B21" t="s">
        <v>460</v>
      </c>
      <c r="C21" t="s">
        <v>108</v>
      </c>
      <c r="D21">
        <v>0</v>
      </c>
      <c r="G21" t="s">
        <v>461</v>
      </c>
      <c r="H21" t="s">
        <v>462</v>
      </c>
    </row>
    <row r="22" spans="2:8" x14ac:dyDescent="0.25">
      <c r="B22" t="s">
        <v>463</v>
      </c>
      <c r="C22" t="s">
        <v>464</v>
      </c>
      <c r="D22">
        <v>0</v>
      </c>
      <c r="G22" t="s">
        <v>465</v>
      </c>
      <c r="H22" t="s">
        <v>466</v>
      </c>
    </row>
    <row r="23" spans="2:8" x14ac:dyDescent="0.25">
      <c r="B23" t="s">
        <v>467</v>
      </c>
      <c r="C23" t="s">
        <v>464</v>
      </c>
      <c r="D23">
        <v>0</v>
      </c>
      <c r="G23" t="s">
        <v>468</v>
      </c>
      <c r="H23" t="s">
        <v>469</v>
      </c>
    </row>
    <row r="24" spans="2:8" x14ac:dyDescent="0.25">
      <c r="B24" t="s">
        <v>470</v>
      </c>
      <c r="C24" t="s">
        <v>464</v>
      </c>
      <c r="D24">
        <v>0</v>
      </c>
      <c r="G24" t="s">
        <v>471</v>
      </c>
      <c r="H24" t="s">
        <v>472</v>
      </c>
    </row>
    <row r="25" spans="2:8" x14ac:dyDescent="0.25">
      <c r="B25" t="s">
        <v>473</v>
      </c>
      <c r="C25" t="s">
        <v>464</v>
      </c>
      <c r="D25">
        <v>0</v>
      </c>
      <c r="G25" t="s">
        <v>474</v>
      </c>
      <c r="H25" t="s">
        <v>475</v>
      </c>
    </row>
    <row r="26" spans="2:8" x14ac:dyDescent="0.25">
      <c r="B26" t="s">
        <v>476</v>
      </c>
      <c r="C26" t="s">
        <v>464</v>
      </c>
      <c r="D26">
        <v>0</v>
      </c>
      <c r="G26" t="s">
        <v>477</v>
      </c>
      <c r="H26" t="s">
        <v>478</v>
      </c>
    </row>
    <row r="27" spans="2:8" x14ac:dyDescent="0.25">
      <c r="B27" t="s">
        <v>479</v>
      </c>
      <c r="C27" t="s">
        <v>464</v>
      </c>
      <c r="D27">
        <v>0</v>
      </c>
      <c r="G27" t="s">
        <v>480</v>
      </c>
      <c r="H27" t="s">
        <v>481</v>
      </c>
    </row>
    <row r="28" spans="2:8" x14ac:dyDescent="0.25">
      <c r="B28" t="s">
        <v>482</v>
      </c>
      <c r="C28" t="s">
        <v>464</v>
      </c>
      <c r="D28">
        <v>0</v>
      </c>
      <c r="G28" t="s">
        <v>483</v>
      </c>
      <c r="H28" t="s">
        <v>484</v>
      </c>
    </row>
    <row r="29" spans="2:8" x14ac:dyDescent="0.25">
      <c r="B29" t="s">
        <v>485</v>
      </c>
      <c r="C29" t="s">
        <v>464</v>
      </c>
      <c r="D29">
        <v>0</v>
      </c>
      <c r="G29" t="s">
        <v>486</v>
      </c>
      <c r="H29" t="s">
        <v>487</v>
      </c>
    </row>
    <row r="30" spans="2:8" x14ac:dyDescent="0.25">
      <c r="B30" t="s">
        <v>488</v>
      </c>
      <c r="C30" t="s">
        <v>464</v>
      </c>
      <c r="D30">
        <v>0</v>
      </c>
      <c r="G30" t="s">
        <v>489</v>
      </c>
      <c r="H30" t="s">
        <v>490</v>
      </c>
    </row>
    <row r="31" spans="2:8" x14ac:dyDescent="0.25">
      <c r="B31" t="s">
        <v>491</v>
      </c>
      <c r="C31" t="s">
        <v>464</v>
      </c>
      <c r="D31">
        <v>0</v>
      </c>
      <c r="G31" t="s">
        <v>492</v>
      </c>
      <c r="H31" t="s">
        <v>493</v>
      </c>
    </row>
    <row r="32" spans="2:8" x14ac:dyDescent="0.25">
      <c r="B32" t="s">
        <v>494</v>
      </c>
      <c r="C32" t="s">
        <v>464</v>
      </c>
      <c r="D32">
        <v>0</v>
      </c>
      <c r="G32" t="s">
        <v>495</v>
      </c>
      <c r="H32" t="s">
        <v>496</v>
      </c>
    </row>
    <row r="33" spans="2:8" x14ac:dyDescent="0.25">
      <c r="B33" t="s">
        <v>497</v>
      </c>
      <c r="C33" t="s">
        <v>464</v>
      </c>
      <c r="D33">
        <v>0</v>
      </c>
      <c r="G33" t="s">
        <v>498</v>
      </c>
      <c r="H33" t="s">
        <v>499</v>
      </c>
    </row>
    <row r="34" spans="2:8" x14ac:dyDescent="0.25">
      <c r="B34" t="s">
        <v>500</v>
      </c>
      <c r="C34" t="s">
        <v>464</v>
      </c>
      <c r="D34">
        <v>0</v>
      </c>
      <c r="G34" t="s">
        <v>501</v>
      </c>
      <c r="H34" t="s">
        <v>502</v>
      </c>
    </row>
    <row r="35" spans="2:8" x14ac:dyDescent="0.25">
      <c r="B35" t="s">
        <v>503</v>
      </c>
      <c r="C35" t="s">
        <v>109</v>
      </c>
      <c r="D35">
        <v>0</v>
      </c>
      <c r="G35" t="s">
        <v>504</v>
      </c>
      <c r="H35" t="s">
        <v>505</v>
      </c>
    </row>
    <row r="36" spans="2:8" x14ac:dyDescent="0.25">
      <c r="B36" t="s">
        <v>506</v>
      </c>
      <c r="C36" t="s">
        <v>109</v>
      </c>
      <c r="D36">
        <v>0</v>
      </c>
      <c r="G36" t="s">
        <v>507</v>
      </c>
      <c r="H36" t="s">
        <v>508</v>
      </c>
    </row>
    <row r="37" spans="2:8" x14ac:dyDescent="0.25">
      <c r="B37" t="s">
        <v>509</v>
      </c>
      <c r="C37" t="s">
        <v>109</v>
      </c>
      <c r="D37">
        <v>0</v>
      </c>
      <c r="G37" t="s">
        <v>510</v>
      </c>
      <c r="H37" t="s">
        <v>511</v>
      </c>
    </row>
    <row r="38" spans="2:8" x14ac:dyDescent="0.25">
      <c r="B38" t="s">
        <v>512</v>
      </c>
      <c r="C38" t="s">
        <v>109</v>
      </c>
      <c r="D38">
        <v>0</v>
      </c>
      <c r="G38" t="s">
        <v>513</v>
      </c>
      <c r="H38" t="s">
        <v>514</v>
      </c>
    </row>
    <row r="39" spans="2:8" x14ac:dyDescent="0.25">
      <c r="B39" t="s">
        <v>515</v>
      </c>
      <c r="C39" t="s">
        <v>109</v>
      </c>
      <c r="D39">
        <v>0</v>
      </c>
      <c r="G39" t="s">
        <v>516</v>
      </c>
      <c r="H39" t="s">
        <v>517</v>
      </c>
    </row>
    <row r="40" spans="2:8" x14ac:dyDescent="0.25">
      <c r="B40" t="s">
        <v>518</v>
      </c>
      <c r="C40" t="s">
        <v>109</v>
      </c>
      <c r="D40">
        <v>0</v>
      </c>
      <c r="G40" t="s">
        <v>519</v>
      </c>
      <c r="H40" t="s">
        <v>520</v>
      </c>
    </row>
    <row r="41" spans="2:8" x14ac:dyDescent="0.25">
      <c r="B41" t="s">
        <v>521</v>
      </c>
      <c r="C41" t="s">
        <v>109</v>
      </c>
      <c r="D41">
        <v>0</v>
      </c>
      <c r="G41" t="s">
        <v>522</v>
      </c>
      <c r="H41" t="s">
        <v>523</v>
      </c>
    </row>
    <row r="42" spans="2:8" x14ac:dyDescent="0.25">
      <c r="B42" t="s">
        <v>524</v>
      </c>
      <c r="C42" t="s">
        <v>109</v>
      </c>
      <c r="D42">
        <v>0</v>
      </c>
      <c r="G42" t="s">
        <v>525</v>
      </c>
      <c r="H42" t="s">
        <v>526</v>
      </c>
    </row>
    <row r="43" spans="2:8" x14ac:dyDescent="0.25">
      <c r="B43" t="s">
        <v>527</v>
      </c>
      <c r="C43" t="s">
        <v>109</v>
      </c>
      <c r="D43">
        <v>0</v>
      </c>
      <c r="G43" t="s">
        <v>528</v>
      </c>
      <c r="H43" t="s">
        <v>529</v>
      </c>
    </row>
    <row r="44" spans="2:8" x14ac:dyDescent="0.25">
      <c r="B44" t="s">
        <v>530</v>
      </c>
      <c r="C44" t="s">
        <v>109</v>
      </c>
      <c r="D44">
        <v>0</v>
      </c>
      <c r="G44" t="s">
        <v>531</v>
      </c>
      <c r="H44" t="s">
        <v>532</v>
      </c>
    </row>
    <row r="45" spans="2:8" x14ac:dyDescent="0.25">
      <c r="B45" t="s">
        <v>533</v>
      </c>
      <c r="C45" t="s">
        <v>109</v>
      </c>
      <c r="D45">
        <v>0</v>
      </c>
      <c r="G45" t="s">
        <v>534</v>
      </c>
      <c r="H45" t="s">
        <v>535</v>
      </c>
    </row>
    <row r="46" spans="2:8" x14ac:dyDescent="0.25">
      <c r="B46" t="s">
        <v>536</v>
      </c>
      <c r="C46" t="s">
        <v>110</v>
      </c>
      <c r="D46">
        <v>0</v>
      </c>
      <c r="G46" t="s">
        <v>537</v>
      </c>
      <c r="H46" t="s">
        <v>538</v>
      </c>
    </row>
    <row r="47" spans="2:8" x14ac:dyDescent="0.25">
      <c r="B47" t="s">
        <v>539</v>
      </c>
      <c r="C47" t="s">
        <v>110</v>
      </c>
      <c r="D47">
        <v>0</v>
      </c>
      <c r="G47" t="s">
        <v>540</v>
      </c>
      <c r="H47" t="s">
        <v>541</v>
      </c>
    </row>
    <row r="48" spans="2:8" x14ac:dyDescent="0.25">
      <c r="B48" t="s">
        <v>542</v>
      </c>
      <c r="C48" t="s">
        <v>110</v>
      </c>
      <c r="D48">
        <v>0</v>
      </c>
      <c r="G48" t="s">
        <v>543</v>
      </c>
      <c r="H48" t="s">
        <v>544</v>
      </c>
    </row>
    <row r="49" spans="2:8" x14ac:dyDescent="0.25">
      <c r="B49" t="s">
        <v>545</v>
      </c>
      <c r="C49" t="s">
        <v>110</v>
      </c>
      <c r="D49">
        <v>0</v>
      </c>
      <c r="G49" t="s">
        <v>546</v>
      </c>
      <c r="H49" t="s">
        <v>547</v>
      </c>
    </row>
    <row r="50" spans="2:8" x14ac:dyDescent="0.25">
      <c r="B50" t="s">
        <v>548</v>
      </c>
      <c r="C50" t="s">
        <v>110</v>
      </c>
      <c r="D50">
        <v>0</v>
      </c>
      <c r="G50" t="s">
        <v>549</v>
      </c>
      <c r="H50" t="s">
        <v>550</v>
      </c>
    </row>
    <row r="51" spans="2:8" x14ac:dyDescent="0.25">
      <c r="B51" t="s">
        <v>551</v>
      </c>
      <c r="C51" t="s">
        <v>110</v>
      </c>
      <c r="D51">
        <v>0</v>
      </c>
      <c r="G51" t="s">
        <v>552</v>
      </c>
      <c r="H51" t="s">
        <v>553</v>
      </c>
    </row>
    <row r="52" spans="2:8" x14ac:dyDescent="0.25">
      <c r="B52" t="s">
        <v>554</v>
      </c>
      <c r="C52" t="s">
        <v>110</v>
      </c>
      <c r="D52">
        <v>0</v>
      </c>
      <c r="G52" t="s">
        <v>555</v>
      </c>
      <c r="H52" t="s">
        <v>556</v>
      </c>
    </row>
    <row r="53" spans="2:8" x14ac:dyDescent="0.25">
      <c r="B53" t="s">
        <v>557</v>
      </c>
      <c r="C53" t="s">
        <v>110</v>
      </c>
      <c r="D53">
        <v>0</v>
      </c>
      <c r="G53" t="s">
        <v>558</v>
      </c>
      <c r="H53" t="s">
        <v>559</v>
      </c>
    </row>
    <row r="54" spans="2:8" x14ac:dyDescent="0.25">
      <c r="B54" t="s">
        <v>560</v>
      </c>
      <c r="C54" t="s">
        <v>110</v>
      </c>
      <c r="D54">
        <v>0</v>
      </c>
      <c r="G54" t="s">
        <v>561</v>
      </c>
      <c r="H54" t="s">
        <v>562</v>
      </c>
    </row>
    <row r="55" spans="2:8" x14ac:dyDescent="0.25">
      <c r="B55" t="s">
        <v>563</v>
      </c>
      <c r="C55" t="s">
        <v>110</v>
      </c>
      <c r="D55">
        <v>0</v>
      </c>
      <c r="G55" t="s">
        <v>564</v>
      </c>
      <c r="H55" t="s">
        <v>565</v>
      </c>
    </row>
    <row r="56" spans="2:8" x14ac:dyDescent="0.25">
      <c r="B56" t="s">
        <v>566</v>
      </c>
      <c r="C56" t="s">
        <v>68</v>
      </c>
      <c r="D56">
        <v>0</v>
      </c>
      <c r="G56" t="s">
        <v>567</v>
      </c>
      <c r="H56" t="s">
        <v>568</v>
      </c>
    </row>
    <row r="57" spans="2:8" x14ac:dyDescent="0.25">
      <c r="B57" t="s">
        <v>569</v>
      </c>
      <c r="C57" t="s">
        <v>68</v>
      </c>
      <c r="D57">
        <v>0</v>
      </c>
      <c r="G57" t="s">
        <v>570</v>
      </c>
      <c r="H57" t="s">
        <v>571</v>
      </c>
    </row>
    <row r="58" spans="2:8" x14ac:dyDescent="0.25">
      <c r="B58" t="s">
        <v>572</v>
      </c>
      <c r="C58" t="s">
        <v>68</v>
      </c>
      <c r="D58">
        <v>0</v>
      </c>
      <c r="G58" t="s">
        <v>573</v>
      </c>
      <c r="H58" t="s">
        <v>574</v>
      </c>
    </row>
    <row r="59" spans="2:8" x14ac:dyDescent="0.25">
      <c r="B59" t="s">
        <v>575</v>
      </c>
      <c r="C59" t="s">
        <v>68</v>
      </c>
      <c r="D59">
        <v>0</v>
      </c>
      <c r="G59" t="s">
        <v>576</v>
      </c>
      <c r="H59" t="s">
        <v>577</v>
      </c>
    </row>
    <row r="60" spans="2:8" x14ac:dyDescent="0.25">
      <c r="B60" t="s">
        <v>578</v>
      </c>
      <c r="C60" t="s">
        <v>68</v>
      </c>
      <c r="D60">
        <v>0</v>
      </c>
      <c r="G60" t="s">
        <v>579</v>
      </c>
      <c r="H60" t="s">
        <v>580</v>
      </c>
    </row>
    <row r="61" spans="2:8" x14ac:dyDescent="0.25">
      <c r="B61" t="s">
        <v>581</v>
      </c>
      <c r="C61" t="s">
        <v>68</v>
      </c>
      <c r="D61">
        <v>0</v>
      </c>
      <c r="G61" t="s">
        <v>582</v>
      </c>
      <c r="H61" t="s">
        <v>583</v>
      </c>
    </row>
    <row r="62" spans="2:8" x14ac:dyDescent="0.25">
      <c r="B62" t="s">
        <v>584</v>
      </c>
      <c r="C62" t="s">
        <v>111</v>
      </c>
      <c r="D62">
        <v>0</v>
      </c>
      <c r="G62" t="s">
        <v>585</v>
      </c>
      <c r="H62" t="s">
        <v>586</v>
      </c>
    </row>
    <row r="63" spans="2:8" x14ac:dyDescent="0.25">
      <c r="B63" t="s">
        <v>587</v>
      </c>
      <c r="C63" t="s">
        <v>112</v>
      </c>
      <c r="D63">
        <v>0</v>
      </c>
      <c r="G63" t="s">
        <v>588</v>
      </c>
      <c r="H63" t="s">
        <v>589</v>
      </c>
    </row>
    <row r="64" spans="2:8" x14ac:dyDescent="0.25">
      <c r="B64" t="s">
        <v>590</v>
      </c>
      <c r="C64" t="s">
        <v>112</v>
      </c>
      <c r="D64">
        <v>0</v>
      </c>
      <c r="G64" t="s">
        <v>591</v>
      </c>
      <c r="H64" t="s">
        <v>592</v>
      </c>
    </row>
    <row r="65" spans="2:8" x14ac:dyDescent="0.25">
      <c r="B65" t="s">
        <v>593</v>
      </c>
      <c r="C65" t="s">
        <v>112</v>
      </c>
      <c r="D65">
        <v>0</v>
      </c>
      <c r="G65" t="s">
        <v>594</v>
      </c>
      <c r="H65" t="s">
        <v>595</v>
      </c>
    </row>
    <row r="66" spans="2:8" x14ac:dyDescent="0.25">
      <c r="B66" t="s">
        <v>596</v>
      </c>
      <c r="C66" t="s">
        <v>112</v>
      </c>
      <c r="D66">
        <v>0</v>
      </c>
      <c r="G66" t="s">
        <v>597</v>
      </c>
      <c r="H66" t="s">
        <v>598</v>
      </c>
    </row>
    <row r="67" spans="2:8" x14ac:dyDescent="0.25">
      <c r="B67" t="s">
        <v>599</v>
      </c>
      <c r="C67" t="s">
        <v>112</v>
      </c>
      <c r="D67">
        <v>0</v>
      </c>
      <c r="G67" t="s">
        <v>600</v>
      </c>
      <c r="H67" t="s">
        <v>601</v>
      </c>
    </row>
    <row r="68" spans="2:8" x14ac:dyDescent="0.25">
      <c r="B68" t="s">
        <v>602</v>
      </c>
      <c r="C68" t="s">
        <v>112</v>
      </c>
      <c r="D68">
        <v>0</v>
      </c>
      <c r="G68" t="s">
        <v>603</v>
      </c>
      <c r="H68" t="s">
        <v>604</v>
      </c>
    </row>
    <row r="69" spans="2:8" x14ac:dyDescent="0.25">
      <c r="B69" t="s">
        <v>605</v>
      </c>
      <c r="C69" t="s">
        <v>112</v>
      </c>
      <c r="D69">
        <v>0</v>
      </c>
      <c r="G69" t="s">
        <v>606</v>
      </c>
      <c r="H69" t="s">
        <v>607</v>
      </c>
    </row>
    <row r="70" spans="2:8" x14ac:dyDescent="0.25">
      <c r="B70" t="s">
        <v>608</v>
      </c>
      <c r="C70" t="s">
        <v>112</v>
      </c>
      <c r="G70" t="s">
        <v>609</v>
      </c>
      <c r="H70" t="s">
        <v>610</v>
      </c>
    </row>
    <row r="71" spans="2:8" x14ac:dyDescent="0.25">
      <c r="B71" t="s">
        <v>611</v>
      </c>
      <c r="C71" t="s">
        <v>112</v>
      </c>
      <c r="G71" t="s">
        <v>612</v>
      </c>
      <c r="H71" t="s">
        <v>613</v>
      </c>
    </row>
    <row r="72" spans="2:8" x14ac:dyDescent="0.25">
      <c r="B72" t="s">
        <v>614</v>
      </c>
      <c r="C72" t="s">
        <v>112</v>
      </c>
      <c r="G72" t="s">
        <v>615</v>
      </c>
      <c r="H72" t="s">
        <v>616</v>
      </c>
    </row>
    <row r="73" spans="2:8" x14ac:dyDescent="0.25">
      <c r="B73" t="s">
        <v>617</v>
      </c>
      <c r="C73" t="s">
        <v>112</v>
      </c>
      <c r="G73" t="s">
        <v>618</v>
      </c>
      <c r="H73" t="s">
        <v>619</v>
      </c>
    </row>
    <row r="74" spans="2:8" x14ac:dyDescent="0.25">
      <c r="B74" t="s">
        <v>620</v>
      </c>
      <c r="C74" t="s">
        <v>112</v>
      </c>
      <c r="G74" t="s">
        <v>621</v>
      </c>
      <c r="H74" t="s">
        <v>622</v>
      </c>
    </row>
    <row r="75" spans="2:8" x14ac:dyDescent="0.25">
      <c r="B75" t="s">
        <v>623</v>
      </c>
      <c r="C75" t="s">
        <v>112</v>
      </c>
      <c r="G75" t="s">
        <v>624</v>
      </c>
      <c r="H75" t="s">
        <v>625</v>
      </c>
    </row>
    <row r="76" spans="2:8" x14ac:dyDescent="0.25">
      <c r="B76" t="s">
        <v>626</v>
      </c>
      <c r="C76" t="s">
        <v>112</v>
      </c>
      <c r="G76" t="s">
        <v>627</v>
      </c>
      <c r="H76" t="s">
        <v>628</v>
      </c>
    </row>
    <row r="77" spans="2:8" x14ac:dyDescent="0.25">
      <c r="B77" t="s">
        <v>629</v>
      </c>
      <c r="C77" t="s">
        <v>112</v>
      </c>
      <c r="G77" t="s">
        <v>630</v>
      </c>
      <c r="H77" t="s">
        <v>631</v>
      </c>
    </row>
    <row r="78" spans="2:8" x14ac:dyDescent="0.25">
      <c r="B78" t="s">
        <v>632</v>
      </c>
      <c r="C78" t="s">
        <v>112</v>
      </c>
      <c r="G78" t="s">
        <v>633</v>
      </c>
      <c r="H78" t="s">
        <v>634</v>
      </c>
    </row>
    <row r="79" spans="2:8" x14ac:dyDescent="0.25">
      <c r="B79" t="s">
        <v>635</v>
      </c>
      <c r="C79" t="s">
        <v>112</v>
      </c>
      <c r="G79" t="s">
        <v>636</v>
      </c>
      <c r="H79" t="s">
        <v>637</v>
      </c>
    </row>
    <row r="80" spans="2:8" x14ac:dyDescent="0.25">
      <c r="B80" t="s">
        <v>638</v>
      </c>
      <c r="C80" t="s">
        <v>112</v>
      </c>
      <c r="G80" t="s">
        <v>639</v>
      </c>
      <c r="H80" t="s">
        <v>640</v>
      </c>
    </row>
    <row r="81" spans="2:8" x14ac:dyDescent="0.25">
      <c r="B81" t="s">
        <v>641</v>
      </c>
      <c r="C81" t="s">
        <v>112</v>
      </c>
      <c r="G81" t="s">
        <v>642</v>
      </c>
      <c r="H81" t="s">
        <v>643</v>
      </c>
    </row>
    <row r="82" spans="2:8" x14ac:dyDescent="0.25">
      <c r="B82" t="s">
        <v>644</v>
      </c>
      <c r="C82" t="s">
        <v>112</v>
      </c>
      <c r="G82" t="s">
        <v>645</v>
      </c>
      <c r="H82" t="s">
        <v>646</v>
      </c>
    </row>
    <row r="83" spans="2:8" x14ac:dyDescent="0.25">
      <c r="B83" t="s">
        <v>647</v>
      </c>
      <c r="C83" t="s">
        <v>112</v>
      </c>
      <c r="G83" t="s">
        <v>648</v>
      </c>
      <c r="H83" t="s">
        <v>649</v>
      </c>
    </row>
    <row r="84" spans="2:8" x14ac:dyDescent="0.25">
      <c r="B84" t="s">
        <v>650</v>
      </c>
      <c r="C84" t="s">
        <v>112</v>
      </c>
      <c r="G84" t="s">
        <v>651</v>
      </c>
      <c r="H84" t="s">
        <v>652</v>
      </c>
    </row>
    <row r="85" spans="2:8" x14ac:dyDescent="0.25">
      <c r="B85" t="s">
        <v>653</v>
      </c>
      <c r="C85" t="s">
        <v>112</v>
      </c>
      <c r="G85" t="s">
        <v>654</v>
      </c>
      <c r="H85" t="s">
        <v>655</v>
      </c>
    </row>
    <row r="86" spans="2:8" x14ac:dyDescent="0.25">
      <c r="B86" t="s">
        <v>656</v>
      </c>
      <c r="C86" t="s">
        <v>112</v>
      </c>
      <c r="G86" t="s">
        <v>657</v>
      </c>
      <c r="H86" t="s">
        <v>658</v>
      </c>
    </row>
    <row r="87" spans="2:8" x14ac:dyDescent="0.25">
      <c r="B87" t="s">
        <v>659</v>
      </c>
      <c r="C87" t="s">
        <v>112</v>
      </c>
      <c r="G87" t="s">
        <v>660</v>
      </c>
      <c r="H87" t="s">
        <v>661</v>
      </c>
    </row>
    <row r="88" spans="2:8" x14ac:dyDescent="0.25">
      <c r="B88" t="s">
        <v>662</v>
      </c>
      <c r="C88" t="s">
        <v>112</v>
      </c>
      <c r="G88" t="s">
        <v>663</v>
      </c>
      <c r="H88" t="s">
        <v>664</v>
      </c>
    </row>
    <row r="89" spans="2:8" x14ac:dyDescent="0.25">
      <c r="B89" t="s">
        <v>665</v>
      </c>
      <c r="C89" t="s">
        <v>112</v>
      </c>
      <c r="G89" t="s">
        <v>666</v>
      </c>
      <c r="H89" t="s">
        <v>667</v>
      </c>
    </row>
    <row r="90" spans="2:8" x14ac:dyDescent="0.25">
      <c r="B90" t="s">
        <v>668</v>
      </c>
      <c r="C90" t="s">
        <v>356</v>
      </c>
      <c r="D90">
        <v>0</v>
      </c>
      <c r="E90" t="s">
        <v>424</v>
      </c>
      <c r="G90" t="s">
        <v>669</v>
      </c>
    </row>
    <row r="91" spans="2:8" x14ac:dyDescent="0.25">
      <c r="B91" t="s">
        <v>670</v>
      </c>
      <c r="C91" t="s">
        <v>356</v>
      </c>
      <c r="D91">
        <v>1</v>
      </c>
      <c r="E91" t="s">
        <v>424</v>
      </c>
      <c r="G91" t="s">
        <v>671</v>
      </c>
    </row>
    <row r="92" spans="2:8" x14ac:dyDescent="0.25">
      <c r="B92" t="s">
        <v>672</v>
      </c>
      <c r="C92" t="s">
        <v>356</v>
      </c>
      <c r="D92">
        <v>1</v>
      </c>
      <c r="E92" t="s">
        <v>424</v>
      </c>
      <c r="G92" t="s">
        <v>673</v>
      </c>
    </row>
    <row r="93" spans="2:8" x14ac:dyDescent="0.25">
      <c r="B93" t="s">
        <v>674</v>
      </c>
      <c r="C93" t="s">
        <v>356</v>
      </c>
      <c r="D93">
        <v>1</v>
      </c>
      <c r="E93" t="s">
        <v>424</v>
      </c>
      <c r="G93" t="s">
        <v>675</v>
      </c>
    </row>
    <row r="94" spans="2:8" x14ac:dyDescent="0.25">
      <c r="B94" t="s">
        <v>676</v>
      </c>
      <c r="C94" t="s">
        <v>356</v>
      </c>
      <c r="D94">
        <v>0</v>
      </c>
      <c r="G94" t="s">
        <v>677</v>
      </c>
      <c r="H94" t="s">
        <v>677</v>
      </c>
    </row>
    <row r="95" spans="2:8" x14ac:dyDescent="0.25">
      <c r="B95" t="s">
        <v>678</v>
      </c>
      <c r="C95" t="s">
        <v>356</v>
      </c>
      <c r="D95">
        <v>1</v>
      </c>
      <c r="G95" t="s">
        <v>679</v>
      </c>
      <c r="H95" t="s">
        <v>680</v>
      </c>
    </row>
    <row r="96" spans="2:8" x14ac:dyDescent="0.25">
      <c r="B96" t="s">
        <v>681</v>
      </c>
      <c r="C96" t="s">
        <v>356</v>
      </c>
      <c r="D96">
        <v>0</v>
      </c>
      <c r="G96" t="s">
        <v>682</v>
      </c>
      <c r="H96" t="s">
        <v>683</v>
      </c>
    </row>
    <row r="97" spans="2:7" x14ac:dyDescent="0.25">
      <c r="B97" t="s">
        <v>684</v>
      </c>
      <c r="C97" t="s">
        <v>356</v>
      </c>
      <c r="G97" t="s">
        <v>685</v>
      </c>
    </row>
    <row r="98" spans="2:7" x14ac:dyDescent="0.25">
      <c r="B98" t="s">
        <v>686</v>
      </c>
      <c r="C98" t="s">
        <v>356</v>
      </c>
      <c r="G98" t="s">
        <v>687</v>
      </c>
    </row>
    <row r="99" spans="2:7" x14ac:dyDescent="0.25">
      <c r="B99" t="s">
        <v>688</v>
      </c>
      <c r="G99" t="s">
        <v>689</v>
      </c>
    </row>
    <row r="100" spans="2:7" x14ac:dyDescent="0.25">
      <c r="B100" t="s">
        <v>690</v>
      </c>
      <c r="G100" t="s">
        <v>691</v>
      </c>
    </row>
    <row r="101" spans="2:7" x14ac:dyDescent="0.25">
      <c r="B101" t="s">
        <v>692</v>
      </c>
      <c r="G101" t="s">
        <v>693</v>
      </c>
    </row>
    <row r="102" spans="2:7" x14ac:dyDescent="0.25">
      <c r="B102" t="s">
        <v>694</v>
      </c>
      <c r="G102" t="s">
        <v>695</v>
      </c>
    </row>
    <row r="103" spans="2:7" x14ac:dyDescent="0.25">
      <c r="B103" t="s">
        <v>696</v>
      </c>
      <c r="G103" t="s">
        <v>697</v>
      </c>
    </row>
    <row r="104" spans="2:7" x14ac:dyDescent="0.25">
      <c r="B104" t="s">
        <v>698</v>
      </c>
      <c r="G104" t="s">
        <v>699</v>
      </c>
    </row>
    <row r="105" spans="2:7" x14ac:dyDescent="0.25">
      <c r="B105" t="s">
        <v>700</v>
      </c>
      <c r="G105" t="s">
        <v>701</v>
      </c>
    </row>
    <row r="106" spans="2:7" x14ac:dyDescent="0.25">
      <c r="B106" t="s">
        <v>702</v>
      </c>
      <c r="G106" t="s">
        <v>703</v>
      </c>
    </row>
    <row r="107" spans="2:7" x14ac:dyDescent="0.25">
      <c r="B107" t="s">
        <v>704</v>
      </c>
      <c r="G107" t="s">
        <v>705</v>
      </c>
    </row>
    <row r="108" spans="2:7" x14ac:dyDescent="0.25">
      <c r="B108" t="s">
        <v>706</v>
      </c>
      <c r="G108" t="s">
        <v>707</v>
      </c>
    </row>
    <row r="109" spans="2:7" x14ac:dyDescent="0.25">
      <c r="B109" t="s">
        <v>708</v>
      </c>
      <c r="G109" t="s">
        <v>709</v>
      </c>
    </row>
    <row r="110" spans="2:7" x14ac:dyDescent="0.25">
      <c r="B110" t="s">
        <v>710</v>
      </c>
      <c r="G110" t="s">
        <v>711</v>
      </c>
    </row>
    <row r="111" spans="2:7" x14ac:dyDescent="0.25">
      <c r="B111" t="s">
        <v>712</v>
      </c>
      <c r="G111" t="s">
        <v>713</v>
      </c>
    </row>
    <row r="112" spans="2:7" x14ac:dyDescent="0.25">
      <c r="B112" t="s">
        <v>714</v>
      </c>
      <c r="G112" t="s">
        <v>715</v>
      </c>
    </row>
    <row r="113" spans="2:7" x14ac:dyDescent="0.25">
      <c r="B113" t="s">
        <v>716</v>
      </c>
      <c r="G113" t="s">
        <v>717</v>
      </c>
    </row>
    <row r="114" spans="2:7" x14ac:dyDescent="0.25">
      <c r="B114" t="s">
        <v>718</v>
      </c>
      <c r="G114" t="s">
        <v>719</v>
      </c>
    </row>
    <row r="115" spans="2:7" x14ac:dyDescent="0.25">
      <c r="B115" t="s">
        <v>720</v>
      </c>
      <c r="G115" t="s">
        <v>721</v>
      </c>
    </row>
    <row r="116" spans="2:7" x14ac:dyDescent="0.25">
      <c r="B116" t="s">
        <v>722</v>
      </c>
      <c r="G116" t="s">
        <v>723</v>
      </c>
    </row>
    <row r="117" spans="2:7" x14ac:dyDescent="0.25">
      <c r="B117" t="s">
        <v>724</v>
      </c>
      <c r="G117" t="s">
        <v>725</v>
      </c>
    </row>
    <row r="118" spans="2:7" x14ac:dyDescent="0.25">
      <c r="B118" t="s">
        <v>726</v>
      </c>
      <c r="G118" t="s">
        <v>727</v>
      </c>
    </row>
    <row r="119" spans="2:7" x14ac:dyDescent="0.25">
      <c r="B119" t="s">
        <v>728</v>
      </c>
      <c r="G119" t="s">
        <v>729</v>
      </c>
    </row>
    <row r="120" spans="2:7" x14ac:dyDescent="0.25">
      <c r="B120" t="s">
        <v>730</v>
      </c>
      <c r="G120" t="s">
        <v>731</v>
      </c>
    </row>
    <row r="121" spans="2:7" x14ac:dyDescent="0.25">
      <c r="B121" t="s">
        <v>732</v>
      </c>
      <c r="G121" t="s">
        <v>733</v>
      </c>
    </row>
    <row r="122" spans="2:7" x14ac:dyDescent="0.25">
      <c r="B122" t="s">
        <v>734</v>
      </c>
      <c r="G122" t="s">
        <v>735</v>
      </c>
    </row>
    <row r="123" spans="2:7" x14ac:dyDescent="0.25">
      <c r="B123" t="s">
        <v>736</v>
      </c>
      <c r="G123" t="s">
        <v>737</v>
      </c>
    </row>
    <row r="124" spans="2:7" x14ac:dyDescent="0.25">
      <c r="B124" t="s">
        <v>738</v>
      </c>
      <c r="G124" t="s">
        <v>739</v>
      </c>
    </row>
    <row r="125" spans="2:7" x14ac:dyDescent="0.25">
      <c r="B125" t="s">
        <v>740</v>
      </c>
      <c r="G125" t="s">
        <v>741</v>
      </c>
    </row>
    <row r="126" spans="2:7" x14ac:dyDescent="0.25">
      <c r="B126" t="s">
        <v>742</v>
      </c>
      <c r="G126" t="s">
        <v>743</v>
      </c>
    </row>
    <row r="127" spans="2:7" x14ac:dyDescent="0.25">
      <c r="B127" t="s">
        <v>744</v>
      </c>
      <c r="G127" t="s">
        <v>745</v>
      </c>
    </row>
    <row r="128" spans="2:7" x14ac:dyDescent="0.25">
      <c r="B128" t="s">
        <v>746</v>
      </c>
      <c r="G128" t="s">
        <v>747</v>
      </c>
    </row>
    <row r="129" spans="2:7" x14ac:dyDescent="0.25">
      <c r="B129" t="s">
        <v>748</v>
      </c>
      <c r="G129" t="s">
        <v>749</v>
      </c>
    </row>
    <row r="130" spans="2:7" x14ac:dyDescent="0.25">
      <c r="B130" t="s">
        <v>750</v>
      </c>
      <c r="G130" t="s">
        <v>751</v>
      </c>
    </row>
    <row r="131" spans="2:7" x14ac:dyDescent="0.25">
      <c r="B131" t="s">
        <v>752</v>
      </c>
      <c r="G131" t="s">
        <v>753</v>
      </c>
    </row>
    <row r="132" spans="2:7" x14ac:dyDescent="0.25">
      <c r="B132" t="s">
        <v>754</v>
      </c>
      <c r="G132" t="s">
        <v>755</v>
      </c>
    </row>
    <row r="133" spans="2:7" x14ac:dyDescent="0.25">
      <c r="B133" t="s">
        <v>756</v>
      </c>
      <c r="G133" t="s">
        <v>757</v>
      </c>
    </row>
    <row r="134" spans="2:7" x14ac:dyDescent="0.25">
      <c r="B134" t="s">
        <v>758</v>
      </c>
      <c r="G134" t="s">
        <v>759</v>
      </c>
    </row>
    <row r="135" spans="2:7" x14ac:dyDescent="0.25">
      <c r="B135" t="s">
        <v>760</v>
      </c>
      <c r="G135" t="s">
        <v>761</v>
      </c>
    </row>
    <row r="136" spans="2:7" x14ac:dyDescent="0.25">
      <c r="B136" t="s">
        <v>762</v>
      </c>
      <c r="G136" t="s">
        <v>763</v>
      </c>
    </row>
    <row r="137" spans="2:7" x14ac:dyDescent="0.25">
      <c r="B137" t="s">
        <v>764</v>
      </c>
      <c r="G137" t="s">
        <v>765</v>
      </c>
    </row>
    <row r="138" spans="2:7" x14ac:dyDescent="0.25">
      <c r="B138" t="s">
        <v>766</v>
      </c>
      <c r="G138" t="s">
        <v>767</v>
      </c>
    </row>
    <row r="139" spans="2:7" x14ac:dyDescent="0.25">
      <c r="B139" t="s">
        <v>768</v>
      </c>
      <c r="G139" t="s">
        <v>769</v>
      </c>
    </row>
    <row r="140" spans="2:7" x14ac:dyDescent="0.25">
      <c r="B140" t="s">
        <v>770</v>
      </c>
      <c r="G140" t="s">
        <v>771</v>
      </c>
    </row>
    <row r="141" spans="2:7" x14ac:dyDescent="0.25">
      <c r="B141" t="s">
        <v>772</v>
      </c>
      <c r="G141" t="s">
        <v>773</v>
      </c>
    </row>
    <row r="142" spans="2:7" x14ac:dyDescent="0.25">
      <c r="B142" t="s">
        <v>774</v>
      </c>
      <c r="G142" t="s">
        <v>775</v>
      </c>
    </row>
    <row r="143" spans="2:7" x14ac:dyDescent="0.25">
      <c r="B143" t="s">
        <v>776</v>
      </c>
      <c r="G143" t="s">
        <v>777</v>
      </c>
    </row>
    <row r="144" spans="2:7" x14ac:dyDescent="0.25">
      <c r="B144" t="s">
        <v>778</v>
      </c>
      <c r="G144" t="s">
        <v>779</v>
      </c>
    </row>
    <row r="145" spans="2:7" x14ac:dyDescent="0.25">
      <c r="B145" t="s">
        <v>780</v>
      </c>
      <c r="G145" t="s">
        <v>781</v>
      </c>
    </row>
    <row r="146" spans="2:7" x14ac:dyDescent="0.25">
      <c r="B146" t="s">
        <v>782</v>
      </c>
      <c r="G146" t="s">
        <v>783</v>
      </c>
    </row>
    <row r="147" spans="2:7" x14ac:dyDescent="0.25">
      <c r="B147" t="s">
        <v>784</v>
      </c>
      <c r="G147" t="s">
        <v>785</v>
      </c>
    </row>
    <row r="148" spans="2:7" x14ac:dyDescent="0.25">
      <c r="B148" t="s">
        <v>786</v>
      </c>
      <c r="G148" t="s">
        <v>787</v>
      </c>
    </row>
    <row r="149" spans="2:7" x14ac:dyDescent="0.25">
      <c r="B149" t="s">
        <v>788</v>
      </c>
    </row>
    <row r="150" spans="2:7" x14ac:dyDescent="0.25">
      <c r="B150" t="s">
        <v>789</v>
      </c>
    </row>
    <row r="151" spans="2:7" x14ac:dyDescent="0.25">
      <c r="B151" t="s">
        <v>790</v>
      </c>
    </row>
    <row r="152" spans="2:7" x14ac:dyDescent="0.25">
      <c r="B152" t="s">
        <v>791</v>
      </c>
    </row>
    <row r="153" spans="2:7" x14ac:dyDescent="0.25">
      <c r="B153" t="s">
        <v>792</v>
      </c>
    </row>
    <row r="154" spans="2:7" x14ac:dyDescent="0.25">
      <c r="B154" t="s">
        <v>793</v>
      </c>
    </row>
    <row r="155" spans="2:7" x14ac:dyDescent="0.25">
      <c r="B155" t="s">
        <v>794</v>
      </c>
    </row>
    <row r="156" spans="2:7" x14ac:dyDescent="0.25">
      <c r="B156" t="s">
        <v>795</v>
      </c>
    </row>
    <row r="157" spans="2:7" x14ac:dyDescent="0.25">
      <c r="B157" t="s">
        <v>796</v>
      </c>
    </row>
    <row r="158" spans="2:7" x14ac:dyDescent="0.25">
      <c r="B158" t="s">
        <v>797</v>
      </c>
    </row>
    <row r="159" spans="2:7" x14ac:dyDescent="0.25">
      <c r="B159" t="s">
        <v>798</v>
      </c>
    </row>
    <row r="160" spans="2:7" x14ac:dyDescent="0.25">
      <c r="B160" t="s">
        <v>799</v>
      </c>
    </row>
    <row r="161" spans="2:2" x14ac:dyDescent="0.25">
      <c r="B161" t="s">
        <v>800</v>
      </c>
    </row>
    <row r="162" spans="2:2" x14ac:dyDescent="0.25">
      <c r="B162" t="s">
        <v>801</v>
      </c>
    </row>
    <row r="163" spans="2:2" x14ac:dyDescent="0.25">
      <c r="B163" t="s">
        <v>802</v>
      </c>
    </row>
    <row r="164" spans="2:2" x14ac:dyDescent="0.25">
      <c r="B164" t="s">
        <v>803</v>
      </c>
    </row>
    <row r="165" spans="2:2" x14ac:dyDescent="0.25">
      <c r="B165" t="s">
        <v>804</v>
      </c>
    </row>
    <row r="166" spans="2:2" x14ac:dyDescent="0.25">
      <c r="B166" t="s">
        <v>805</v>
      </c>
    </row>
    <row r="167" spans="2:2" x14ac:dyDescent="0.25">
      <c r="B167" t="s">
        <v>806</v>
      </c>
    </row>
    <row r="168" spans="2:2" x14ac:dyDescent="0.25">
      <c r="B168" t="s">
        <v>807</v>
      </c>
    </row>
    <row r="169" spans="2:2" x14ac:dyDescent="0.25">
      <c r="B169" t="s">
        <v>808</v>
      </c>
    </row>
    <row r="170" spans="2:2" x14ac:dyDescent="0.25">
      <c r="B170" t="s">
        <v>809</v>
      </c>
    </row>
    <row r="171" spans="2:2" x14ac:dyDescent="0.25">
      <c r="B171" t="s">
        <v>810</v>
      </c>
    </row>
    <row r="172" spans="2:2" x14ac:dyDescent="0.25">
      <c r="B172" t="s">
        <v>811</v>
      </c>
    </row>
    <row r="173" spans="2:2" x14ac:dyDescent="0.25">
      <c r="B173" t="s">
        <v>812</v>
      </c>
    </row>
    <row r="174" spans="2:2" x14ac:dyDescent="0.25">
      <c r="B174" t="s">
        <v>813</v>
      </c>
    </row>
    <row r="175" spans="2:2" x14ac:dyDescent="0.25">
      <c r="B175" t="s">
        <v>814</v>
      </c>
    </row>
    <row r="176" spans="2:2" x14ac:dyDescent="0.25">
      <c r="B176" t="s">
        <v>815</v>
      </c>
    </row>
    <row r="177" spans="2:2" x14ac:dyDescent="0.25">
      <c r="B177" t="s">
        <v>816</v>
      </c>
    </row>
    <row r="178" spans="2:2" x14ac:dyDescent="0.25">
      <c r="B178" t="s">
        <v>817</v>
      </c>
    </row>
    <row r="179" spans="2:2" x14ac:dyDescent="0.25">
      <c r="B179" t="s">
        <v>818</v>
      </c>
    </row>
    <row r="180" spans="2:2" x14ac:dyDescent="0.25">
      <c r="B180" t="s">
        <v>819</v>
      </c>
    </row>
    <row r="181" spans="2:2" x14ac:dyDescent="0.25">
      <c r="B181" t="s">
        <v>820</v>
      </c>
    </row>
    <row r="182" spans="2:2" x14ac:dyDescent="0.25">
      <c r="B182" t="s">
        <v>821</v>
      </c>
    </row>
    <row r="183" spans="2:2" x14ac:dyDescent="0.25">
      <c r="B183" t="s">
        <v>822</v>
      </c>
    </row>
    <row r="184" spans="2:2" x14ac:dyDescent="0.25">
      <c r="B184" t="s">
        <v>823</v>
      </c>
    </row>
    <row r="185" spans="2:2" x14ac:dyDescent="0.25">
      <c r="B185" t="s">
        <v>824</v>
      </c>
    </row>
    <row r="186" spans="2:2" x14ac:dyDescent="0.25">
      <c r="B186" t="s">
        <v>825</v>
      </c>
    </row>
    <row r="187" spans="2:2" x14ac:dyDescent="0.25">
      <c r="B187" t="s">
        <v>826</v>
      </c>
    </row>
    <row r="188" spans="2:2" x14ac:dyDescent="0.25">
      <c r="B188" t="s">
        <v>827</v>
      </c>
    </row>
    <row r="189" spans="2:2" x14ac:dyDescent="0.25">
      <c r="B189" t="s">
        <v>828</v>
      </c>
    </row>
    <row r="190" spans="2:2" x14ac:dyDescent="0.25">
      <c r="B190" t="s">
        <v>829</v>
      </c>
    </row>
    <row r="191" spans="2:2" x14ac:dyDescent="0.25">
      <c r="B191" t="s">
        <v>830</v>
      </c>
    </row>
    <row r="192" spans="2:2" x14ac:dyDescent="0.25">
      <c r="B192" t="s">
        <v>831</v>
      </c>
    </row>
    <row r="193" spans="2:2" x14ac:dyDescent="0.25">
      <c r="B193" t="s">
        <v>832</v>
      </c>
    </row>
    <row r="194" spans="2:2" x14ac:dyDescent="0.25">
      <c r="B194" t="s">
        <v>833</v>
      </c>
    </row>
    <row r="195" spans="2:2" x14ac:dyDescent="0.25">
      <c r="B195" t="s">
        <v>834</v>
      </c>
    </row>
    <row r="196" spans="2:2" x14ac:dyDescent="0.25">
      <c r="B196" t="s">
        <v>835</v>
      </c>
    </row>
    <row r="197" spans="2:2" x14ac:dyDescent="0.25">
      <c r="B197" t="s">
        <v>836</v>
      </c>
    </row>
    <row r="198" spans="2:2" x14ac:dyDescent="0.25">
      <c r="B198" t="s">
        <v>837</v>
      </c>
    </row>
    <row r="199" spans="2:2" x14ac:dyDescent="0.25">
      <c r="B199" t="s">
        <v>838</v>
      </c>
    </row>
    <row r="200" spans="2:2" x14ac:dyDescent="0.25">
      <c r="B200" t="s">
        <v>839</v>
      </c>
    </row>
    <row r="201" spans="2:2" x14ac:dyDescent="0.25">
      <c r="B201" t="s">
        <v>840</v>
      </c>
    </row>
    <row r="202" spans="2:2" x14ac:dyDescent="0.25">
      <c r="B202" t="s">
        <v>841</v>
      </c>
    </row>
    <row r="203" spans="2:2" x14ac:dyDescent="0.25">
      <c r="B203" t="s">
        <v>842</v>
      </c>
    </row>
    <row r="204" spans="2:2" x14ac:dyDescent="0.25">
      <c r="B204" t="s">
        <v>843</v>
      </c>
    </row>
    <row r="205" spans="2:2" x14ac:dyDescent="0.25">
      <c r="B205" t="s">
        <v>844</v>
      </c>
    </row>
    <row r="206" spans="2:2" x14ac:dyDescent="0.25">
      <c r="B206" t="s">
        <v>845</v>
      </c>
    </row>
    <row r="207" spans="2:2" x14ac:dyDescent="0.25">
      <c r="B207" t="s">
        <v>846</v>
      </c>
    </row>
    <row r="208" spans="2:2" x14ac:dyDescent="0.25">
      <c r="B208" t="s">
        <v>847</v>
      </c>
    </row>
    <row r="209" spans="2:8" x14ac:dyDescent="0.25">
      <c r="B209" t="s">
        <v>848</v>
      </c>
      <c r="G209" t="s">
        <v>849</v>
      </c>
      <c r="H209" t="s">
        <v>850</v>
      </c>
    </row>
    <row r="210" spans="2:8" x14ac:dyDescent="0.25">
      <c r="B210" t="s">
        <v>851</v>
      </c>
      <c r="G210" t="s">
        <v>852</v>
      </c>
      <c r="H210" t="s">
        <v>853</v>
      </c>
    </row>
    <row r="211" spans="2:8" x14ac:dyDescent="0.25">
      <c r="B211" t="s">
        <v>854</v>
      </c>
      <c r="G211" t="s">
        <v>855</v>
      </c>
      <c r="H211" t="s">
        <v>856</v>
      </c>
    </row>
    <row r="212" spans="2:8" x14ac:dyDescent="0.25">
      <c r="B212" t="s">
        <v>857</v>
      </c>
      <c r="G212" t="s">
        <v>856</v>
      </c>
      <c r="H212" t="s">
        <v>858</v>
      </c>
    </row>
    <row r="213" spans="2:8" x14ac:dyDescent="0.25">
      <c r="B213" t="s">
        <v>859</v>
      </c>
      <c r="G213" t="s">
        <v>860</v>
      </c>
      <c r="H213" t="s">
        <v>861</v>
      </c>
    </row>
    <row r="214" spans="2:8" x14ac:dyDescent="0.25">
      <c r="B214" t="s">
        <v>862</v>
      </c>
      <c r="G214" t="s">
        <v>863</v>
      </c>
      <c r="H214" t="s">
        <v>864</v>
      </c>
    </row>
    <row r="215" spans="2:8" x14ac:dyDescent="0.25">
      <c r="B215" t="s">
        <v>865</v>
      </c>
      <c r="G215" t="s">
        <v>866</v>
      </c>
      <c r="H215" t="s">
        <v>867</v>
      </c>
    </row>
    <row r="216" spans="2:8" x14ac:dyDescent="0.25">
      <c r="B216" t="s">
        <v>868</v>
      </c>
      <c r="G216" t="s">
        <v>869</v>
      </c>
      <c r="H216" t="s">
        <v>870</v>
      </c>
    </row>
    <row r="217" spans="2:8" x14ac:dyDescent="0.25">
      <c r="B217" t="s">
        <v>871</v>
      </c>
      <c r="G217" t="s">
        <v>872</v>
      </c>
      <c r="H217" t="s">
        <v>873</v>
      </c>
    </row>
    <row r="218" spans="2:8" x14ac:dyDescent="0.25">
      <c r="B218" t="s">
        <v>874</v>
      </c>
      <c r="G218" t="s">
        <v>875</v>
      </c>
      <c r="H218" t="s">
        <v>876</v>
      </c>
    </row>
    <row r="219" spans="2:8" x14ac:dyDescent="0.25">
      <c r="B219" t="s">
        <v>877</v>
      </c>
      <c r="G219" t="s">
        <v>878</v>
      </c>
      <c r="H219" t="s">
        <v>879</v>
      </c>
    </row>
    <row r="220" spans="2:8" x14ac:dyDescent="0.25">
      <c r="B220" t="s">
        <v>880</v>
      </c>
      <c r="G220" t="s">
        <v>881</v>
      </c>
      <c r="H220" t="s">
        <v>882</v>
      </c>
    </row>
    <row r="221" spans="2:8" x14ac:dyDescent="0.25">
      <c r="B221" t="s">
        <v>883</v>
      </c>
      <c r="G221" t="s">
        <v>881</v>
      </c>
      <c r="H221" t="s">
        <v>884</v>
      </c>
    </row>
    <row r="222" spans="2:8" x14ac:dyDescent="0.25">
      <c r="B222" t="s">
        <v>885</v>
      </c>
      <c r="G222" t="s">
        <v>886</v>
      </c>
      <c r="H222" t="s">
        <v>887</v>
      </c>
    </row>
    <row r="223" spans="2:8" x14ac:dyDescent="0.25">
      <c r="B223" t="s">
        <v>888</v>
      </c>
      <c r="G223" t="s">
        <v>889</v>
      </c>
      <c r="H223" t="s">
        <v>850</v>
      </c>
    </row>
    <row r="224" spans="2:8" x14ac:dyDescent="0.25">
      <c r="B224" t="s">
        <v>890</v>
      </c>
      <c r="G224" t="s">
        <v>891</v>
      </c>
      <c r="H224" t="s">
        <v>892</v>
      </c>
    </row>
    <row r="225" spans="2:8" x14ac:dyDescent="0.25">
      <c r="B225" t="s">
        <v>893</v>
      </c>
      <c r="G225" t="s">
        <v>894</v>
      </c>
      <c r="H225" t="s">
        <v>893</v>
      </c>
    </row>
    <row r="226" spans="2:8" x14ac:dyDescent="0.25">
      <c r="B226" t="s">
        <v>895</v>
      </c>
      <c r="G226" t="s">
        <v>855</v>
      </c>
      <c r="H226" t="s">
        <v>853</v>
      </c>
    </row>
    <row r="227" spans="2:8" x14ac:dyDescent="0.25">
      <c r="B227" t="s">
        <v>896</v>
      </c>
      <c r="G227" t="s">
        <v>856</v>
      </c>
      <c r="H227" t="s">
        <v>856</v>
      </c>
    </row>
    <row r="228" spans="2:8" x14ac:dyDescent="0.25">
      <c r="B228" t="s">
        <v>897</v>
      </c>
      <c r="G228" t="s">
        <v>860</v>
      </c>
      <c r="H228" t="s">
        <v>858</v>
      </c>
    </row>
    <row r="229" spans="2:8" x14ac:dyDescent="0.25">
      <c r="B229" t="s">
        <v>898</v>
      </c>
      <c r="G229" t="s">
        <v>863</v>
      </c>
      <c r="H229" t="s">
        <v>861</v>
      </c>
    </row>
    <row r="230" spans="2:8" x14ac:dyDescent="0.25">
      <c r="B230" t="s">
        <v>899</v>
      </c>
      <c r="G230" t="s">
        <v>866</v>
      </c>
      <c r="H230" t="s">
        <v>864</v>
      </c>
    </row>
    <row r="231" spans="2:8" x14ac:dyDescent="0.25">
      <c r="B231" t="s">
        <v>900</v>
      </c>
      <c r="G231" t="s">
        <v>869</v>
      </c>
      <c r="H231" t="s">
        <v>867</v>
      </c>
    </row>
    <row r="232" spans="2:8" x14ac:dyDescent="0.25">
      <c r="B232" t="s">
        <v>901</v>
      </c>
      <c r="G232" t="s">
        <v>872</v>
      </c>
      <c r="H232" t="s">
        <v>870</v>
      </c>
    </row>
    <row r="233" spans="2:8" x14ac:dyDescent="0.25">
      <c r="B233" t="s">
        <v>902</v>
      </c>
      <c r="G233" t="s">
        <v>875</v>
      </c>
      <c r="H233" t="s">
        <v>873</v>
      </c>
    </row>
    <row r="234" spans="2:8" x14ac:dyDescent="0.25">
      <c r="B234" t="s">
        <v>903</v>
      </c>
      <c r="G234" t="s">
        <v>878</v>
      </c>
      <c r="H234" t="s">
        <v>876</v>
      </c>
    </row>
    <row r="235" spans="2:8" x14ac:dyDescent="0.25">
      <c r="B235" t="s">
        <v>904</v>
      </c>
      <c r="G235" t="s">
        <v>881</v>
      </c>
      <c r="H235" t="s">
        <v>879</v>
      </c>
    </row>
    <row r="236" spans="2:8" x14ac:dyDescent="0.25">
      <c r="B236" t="s">
        <v>905</v>
      </c>
      <c r="G236" t="s">
        <v>881</v>
      </c>
      <c r="H236" t="s">
        <v>882</v>
      </c>
    </row>
    <row r="237" spans="2:8" x14ac:dyDescent="0.25">
      <c r="B237" t="s">
        <v>906</v>
      </c>
      <c r="G237" t="s">
        <v>886</v>
      </c>
      <c r="H237" t="s">
        <v>884</v>
      </c>
    </row>
    <row r="238" spans="2:8" x14ac:dyDescent="0.25">
      <c r="B238" t="s">
        <v>907</v>
      </c>
      <c r="G238" t="s">
        <v>889</v>
      </c>
      <c r="H238" t="s">
        <v>887</v>
      </c>
    </row>
    <row r="239" spans="2:8" x14ac:dyDescent="0.25">
      <c r="B239" t="s">
        <v>908</v>
      </c>
      <c r="G239" t="s">
        <v>891</v>
      </c>
      <c r="H239" t="s">
        <v>850</v>
      </c>
    </row>
    <row r="240" spans="2:8" x14ac:dyDescent="0.25">
      <c r="B240" t="s">
        <v>909</v>
      </c>
      <c r="G240" t="s">
        <v>910</v>
      </c>
      <c r="H240" t="s">
        <v>909</v>
      </c>
    </row>
    <row r="241" spans="2:8" x14ac:dyDescent="0.25">
      <c r="B241" t="s">
        <v>911</v>
      </c>
      <c r="G241" t="s">
        <v>855</v>
      </c>
      <c r="H241" t="s">
        <v>853</v>
      </c>
    </row>
    <row r="242" spans="2:8" x14ac:dyDescent="0.25">
      <c r="B242" t="s">
        <v>912</v>
      </c>
      <c r="G242" t="s">
        <v>856</v>
      </c>
      <c r="H242" t="s">
        <v>856</v>
      </c>
    </row>
    <row r="243" spans="2:8" x14ac:dyDescent="0.25">
      <c r="B243" t="s">
        <v>913</v>
      </c>
      <c r="G243" t="s">
        <v>860</v>
      </c>
      <c r="H243" t="s">
        <v>858</v>
      </c>
    </row>
    <row r="244" spans="2:8" x14ac:dyDescent="0.25">
      <c r="B244" t="s">
        <v>914</v>
      </c>
      <c r="G244" t="s">
        <v>863</v>
      </c>
      <c r="H244" t="s">
        <v>861</v>
      </c>
    </row>
    <row r="245" spans="2:8" x14ac:dyDescent="0.25">
      <c r="B245" t="s">
        <v>915</v>
      </c>
      <c r="G245" t="s">
        <v>866</v>
      </c>
      <c r="H245" t="s">
        <v>864</v>
      </c>
    </row>
    <row r="246" spans="2:8" x14ac:dyDescent="0.25">
      <c r="B246" t="s">
        <v>916</v>
      </c>
      <c r="G246" t="s">
        <v>869</v>
      </c>
      <c r="H246" t="s">
        <v>867</v>
      </c>
    </row>
    <row r="247" spans="2:8" x14ac:dyDescent="0.25">
      <c r="B247" t="s">
        <v>917</v>
      </c>
      <c r="G247" t="s">
        <v>872</v>
      </c>
      <c r="H247" t="s">
        <v>870</v>
      </c>
    </row>
    <row r="248" spans="2:8" x14ac:dyDescent="0.25">
      <c r="B248" t="s">
        <v>918</v>
      </c>
      <c r="G248" t="s">
        <v>875</v>
      </c>
      <c r="H248" t="s">
        <v>873</v>
      </c>
    </row>
    <row r="249" spans="2:8" x14ac:dyDescent="0.25">
      <c r="B249" t="s">
        <v>919</v>
      </c>
      <c r="G249" t="s">
        <v>878</v>
      </c>
      <c r="H249" t="s">
        <v>876</v>
      </c>
    </row>
    <row r="250" spans="2:8" x14ac:dyDescent="0.25">
      <c r="B250" t="s">
        <v>920</v>
      </c>
      <c r="G250" t="s">
        <v>881</v>
      </c>
      <c r="H250" t="s">
        <v>879</v>
      </c>
    </row>
    <row r="251" spans="2:8" x14ac:dyDescent="0.25">
      <c r="B251" t="s">
        <v>921</v>
      </c>
      <c r="G251" t="s">
        <v>881</v>
      </c>
      <c r="H251" t="s">
        <v>882</v>
      </c>
    </row>
    <row r="252" spans="2:8" x14ac:dyDescent="0.25">
      <c r="B252" t="s">
        <v>922</v>
      </c>
      <c r="G252" t="s">
        <v>886</v>
      </c>
      <c r="H252" t="s">
        <v>884</v>
      </c>
    </row>
    <row r="253" spans="2:8" x14ac:dyDescent="0.25">
      <c r="B253" t="s">
        <v>923</v>
      </c>
      <c r="G253" t="s">
        <v>889</v>
      </c>
      <c r="H253" t="s">
        <v>887</v>
      </c>
    </row>
    <row r="254" spans="2:8" x14ac:dyDescent="0.25">
      <c r="B254" t="s">
        <v>924</v>
      </c>
      <c r="G254" t="s">
        <v>891</v>
      </c>
      <c r="H254" t="s">
        <v>850</v>
      </c>
    </row>
    <row r="255" spans="2:8" x14ac:dyDescent="0.25">
      <c r="B255" t="s">
        <v>925</v>
      </c>
      <c r="G255" t="s">
        <v>926</v>
      </c>
      <c r="H255" t="s">
        <v>925</v>
      </c>
    </row>
    <row r="256" spans="2:8" x14ac:dyDescent="0.25">
      <c r="B256" t="s">
        <v>927</v>
      </c>
      <c r="G256" t="s">
        <v>855</v>
      </c>
      <c r="H256" t="s">
        <v>853</v>
      </c>
    </row>
    <row r="257" spans="2:8" x14ac:dyDescent="0.25">
      <c r="B257" t="s">
        <v>928</v>
      </c>
      <c r="G257" t="s">
        <v>856</v>
      </c>
      <c r="H257" t="s">
        <v>856</v>
      </c>
    </row>
    <row r="258" spans="2:8" x14ac:dyDescent="0.25">
      <c r="B258" t="s">
        <v>929</v>
      </c>
      <c r="G258" t="s">
        <v>860</v>
      </c>
      <c r="H258" t="s">
        <v>858</v>
      </c>
    </row>
    <row r="259" spans="2:8" x14ac:dyDescent="0.25">
      <c r="B259" t="s">
        <v>930</v>
      </c>
      <c r="G259" t="s">
        <v>863</v>
      </c>
      <c r="H259" t="s">
        <v>861</v>
      </c>
    </row>
    <row r="260" spans="2:8" x14ac:dyDescent="0.25">
      <c r="B260" t="s">
        <v>931</v>
      </c>
      <c r="G260" t="s">
        <v>866</v>
      </c>
      <c r="H260" t="s">
        <v>864</v>
      </c>
    </row>
    <row r="261" spans="2:8" x14ac:dyDescent="0.25">
      <c r="B261" t="s">
        <v>932</v>
      </c>
      <c r="G261" t="s">
        <v>869</v>
      </c>
      <c r="H261" t="s">
        <v>867</v>
      </c>
    </row>
    <row r="262" spans="2:8" x14ac:dyDescent="0.25">
      <c r="B262" t="s">
        <v>933</v>
      </c>
      <c r="G262" t="s">
        <v>872</v>
      </c>
      <c r="H262" t="s">
        <v>870</v>
      </c>
    </row>
    <row r="263" spans="2:8" x14ac:dyDescent="0.25">
      <c r="B263" t="s">
        <v>934</v>
      </c>
      <c r="G263" t="s">
        <v>875</v>
      </c>
      <c r="H263" t="s">
        <v>873</v>
      </c>
    </row>
    <row r="264" spans="2:8" x14ac:dyDescent="0.25">
      <c r="B264" t="s">
        <v>935</v>
      </c>
      <c r="G264" t="s">
        <v>878</v>
      </c>
      <c r="H264" t="s">
        <v>876</v>
      </c>
    </row>
    <row r="265" spans="2:8" x14ac:dyDescent="0.25">
      <c r="B265" t="s">
        <v>936</v>
      </c>
      <c r="G265" t="s">
        <v>881</v>
      </c>
      <c r="H265" t="s">
        <v>879</v>
      </c>
    </row>
    <row r="266" spans="2:8" x14ac:dyDescent="0.25">
      <c r="B266" t="s">
        <v>937</v>
      </c>
      <c r="G266" t="s">
        <v>881</v>
      </c>
      <c r="H266" t="s">
        <v>882</v>
      </c>
    </row>
    <row r="267" spans="2:8" x14ac:dyDescent="0.25">
      <c r="B267" t="s">
        <v>938</v>
      </c>
      <c r="G267" t="s">
        <v>886</v>
      </c>
      <c r="H267" t="s">
        <v>884</v>
      </c>
    </row>
    <row r="268" spans="2:8" x14ac:dyDescent="0.25">
      <c r="B268" t="s">
        <v>939</v>
      </c>
      <c r="G268" t="s">
        <v>889</v>
      </c>
      <c r="H268" t="s">
        <v>887</v>
      </c>
    </row>
    <row r="269" spans="2:8" x14ac:dyDescent="0.25">
      <c r="B269" t="s">
        <v>940</v>
      </c>
      <c r="G269" t="s">
        <v>941</v>
      </c>
    </row>
    <row r="270" spans="2:8" x14ac:dyDescent="0.25">
      <c r="B270" t="s">
        <v>942</v>
      </c>
      <c r="G270" t="s">
        <v>943</v>
      </c>
    </row>
    <row r="271" spans="2:8" x14ac:dyDescent="0.25">
      <c r="B271" t="s">
        <v>944</v>
      </c>
      <c r="G271" t="s">
        <v>945</v>
      </c>
    </row>
    <row r="272" spans="2:8" x14ac:dyDescent="0.25">
      <c r="B272" t="s">
        <v>946</v>
      </c>
      <c r="G272" t="s">
        <v>943</v>
      </c>
    </row>
    <row r="273" spans="2:7" x14ac:dyDescent="0.25">
      <c r="B273" t="s">
        <v>947</v>
      </c>
      <c r="G273" t="s">
        <v>945</v>
      </c>
    </row>
    <row r="274" spans="2:7" x14ac:dyDescent="0.25">
      <c r="B274" t="s">
        <v>948</v>
      </c>
      <c r="G274" t="s">
        <v>949</v>
      </c>
    </row>
    <row r="275" spans="2:7" x14ac:dyDescent="0.25">
      <c r="B275" t="s">
        <v>950</v>
      </c>
      <c r="G275" t="s">
        <v>951</v>
      </c>
    </row>
    <row r="276" spans="2:7" x14ac:dyDescent="0.25">
      <c r="B276" t="s">
        <v>952</v>
      </c>
      <c r="G276" t="s">
        <v>953</v>
      </c>
    </row>
    <row r="277" spans="2:7" x14ac:dyDescent="0.25">
      <c r="B277" t="s">
        <v>954</v>
      </c>
      <c r="G277" t="s">
        <v>955</v>
      </c>
    </row>
    <row r="278" spans="2:7" x14ac:dyDescent="0.25">
      <c r="B278" t="s">
        <v>956</v>
      </c>
      <c r="G278" t="s">
        <v>957</v>
      </c>
    </row>
    <row r="279" spans="2:7" x14ac:dyDescent="0.25">
      <c r="B279" t="s">
        <v>958</v>
      </c>
      <c r="G279" t="s">
        <v>959</v>
      </c>
    </row>
    <row r="280" spans="2:7" x14ac:dyDescent="0.25">
      <c r="B280" t="s">
        <v>960</v>
      </c>
      <c r="G280" t="s">
        <v>961</v>
      </c>
    </row>
    <row r="281" spans="2:7" x14ac:dyDescent="0.25">
      <c r="B281" t="s">
        <v>962</v>
      </c>
      <c r="G281" t="s">
        <v>963</v>
      </c>
    </row>
    <row r="282" spans="2:7" x14ac:dyDescent="0.25">
      <c r="B282" t="s">
        <v>964</v>
      </c>
      <c r="G282" t="s">
        <v>965</v>
      </c>
    </row>
    <row r="283" spans="2:7" x14ac:dyDescent="0.25">
      <c r="B283" t="s">
        <v>966</v>
      </c>
      <c r="G283" t="s">
        <v>949</v>
      </c>
    </row>
    <row r="284" spans="2:7" x14ac:dyDescent="0.25">
      <c r="B284" t="s">
        <v>967</v>
      </c>
      <c r="G284" t="s">
        <v>951</v>
      </c>
    </row>
    <row r="285" spans="2:7" x14ac:dyDescent="0.25">
      <c r="B285" t="s">
        <v>968</v>
      </c>
      <c r="G285" t="s">
        <v>953</v>
      </c>
    </row>
    <row r="286" spans="2:7" x14ac:dyDescent="0.25">
      <c r="B286" t="s">
        <v>969</v>
      </c>
      <c r="G286" t="s">
        <v>955</v>
      </c>
    </row>
    <row r="287" spans="2:7" x14ac:dyDescent="0.25">
      <c r="B287" t="s">
        <v>970</v>
      </c>
      <c r="G287" t="s">
        <v>957</v>
      </c>
    </row>
    <row r="288" spans="2:7" x14ac:dyDescent="0.25">
      <c r="B288" t="s">
        <v>971</v>
      </c>
      <c r="G288" t="s">
        <v>959</v>
      </c>
    </row>
    <row r="289" spans="2:7" x14ac:dyDescent="0.25">
      <c r="B289" t="s">
        <v>972</v>
      </c>
      <c r="G289" t="s">
        <v>961</v>
      </c>
    </row>
    <row r="290" spans="2:7" x14ac:dyDescent="0.25">
      <c r="B290" t="s">
        <v>973</v>
      </c>
      <c r="G290" t="s">
        <v>963</v>
      </c>
    </row>
    <row r="291" spans="2:7" x14ac:dyDescent="0.25">
      <c r="B291" t="s">
        <v>974</v>
      </c>
      <c r="G291" t="s">
        <v>965</v>
      </c>
    </row>
    <row r="292" spans="2:7" x14ac:dyDescent="0.25">
      <c r="B292" t="s">
        <v>975</v>
      </c>
      <c r="G292" t="s">
        <v>976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indexed="10"/>
    <pageSetUpPr fitToPage="1"/>
  </sheetPr>
  <dimension ref="A1:V523"/>
  <sheetViews>
    <sheetView workbookViewId="0">
      <selection activeCell="W19" sqref="W19"/>
    </sheetView>
  </sheetViews>
  <sheetFormatPr defaultRowHeight="12.75" x14ac:dyDescent="0.2"/>
  <cols>
    <col min="1" max="1" width="7.42578125" style="171" customWidth="1"/>
    <col min="2" max="2" width="9.42578125" style="171" customWidth="1"/>
    <col min="3" max="3" width="9.140625" style="171"/>
    <col min="4" max="4" width="4" style="171" customWidth="1"/>
    <col min="5" max="5" width="13.7109375" style="171" customWidth="1"/>
    <col min="6" max="7" width="3.85546875" style="171" customWidth="1"/>
    <col min="8" max="11" width="5.42578125" style="171" customWidth="1"/>
    <col min="12" max="13" width="3.5703125" style="171" customWidth="1"/>
    <col min="14" max="17" width="3.7109375" style="171" customWidth="1"/>
    <col min="18" max="18" width="3.5703125" style="171" customWidth="1"/>
    <col min="19" max="19" width="3.42578125" style="171" customWidth="1"/>
    <col min="20" max="21" width="3.5703125" style="171" customWidth="1"/>
    <col min="22" max="22" width="2.42578125" style="72" customWidth="1"/>
    <col min="23" max="256" width="9.140625" style="72"/>
    <col min="257" max="257" width="7.42578125" style="72" customWidth="1"/>
    <col min="258" max="258" width="9.42578125" style="72" customWidth="1"/>
    <col min="259" max="261" width="9.140625" style="72"/>
    <col min="262" max="267" width="3.7109375" style="72" customWidth="1"/>
    <col min="268" max="269" width="3.5703125" style="72" customWidth="1"/>
    <col min="270" max="270" width="4.85546875" style="72" customWidth="1"/>
    <col min="271" max="271" width="3.7109375" style="72" customWidth="1"/>
    <col min="272" max="272" width="5.28515625" style="72" customWidth="1"/>
    <col min="273" max="273" width="0" style="72" hidden="1" customWidth="1"/>
    <col min="274" max="274" width="3.5703125" style="72" customWidth="1"/>
    <col min="275" max="275" width="3.42578125" style="72" customWidth="1"/>
    <col min="276" max="277" width="3.5703125" style="72" customWidth="1"/>
    <col min="278" max="512" width="9.140625" style="72"/>
    <col min="513" max="513" width="7.42578125" style="72" customWidth="1"/>
    <col min="514" max="514" width="9.42578125" style="72" customWidth="1"/>
    <col min="515" max="517" width="9.140625" style="72"/>
    <col min="518" max="523" width="3.7109375" style="72" customWidth="1"/>
    <col min="524" max="525" width="3.5703125" style="72" customWidth="1"/>
    <col min="526" max="526" width="4.85546875" style="72" customWidth="1"/>
    <col min="527" max="527" width="3.7109375" style="72" customWidth="1"/>
    <col min="528" max="528" width="5.28515625" style="72" customWidth="1"/>
    <col min="529" max="529" width="0" style="72" hidden="1" customWidth="1"/>
    <col min="530" max="530" width="3.5703125" style="72" customWidth="1"/>
    <col min="531" max="531" width="3.42578125" style="72" customWidth="1"/>
    <col min="532" max="533" width="3.5703125" style="72" customWidth="1"/>
    <col min="534" max="768" width="9.140625" style="72"/>
    <col min="769" max="769" width="7.42578125" style="72" customWidth="1"/>
    <col min="770" max="770" width="9.42578125" style="72" customWidth="1"/>
    <col min="771" max="773" width="9.140625" style="72"/>
    <col min="774" max="779" width="3.7109375" style="72" customWidth="1"/>
    <col min="780" max="781" width="3.5703125" style="72" customWidth="1"/>
    <col min="782" max="782" width="4.85546875" style="72" customWidth="1"/>
    <col min="783" max="783" width="3.7109375" style="72" customWidth="1"/>
    <col min="784" max="784" width="5.28515625" style="72" customWidth="1"/>
    <col min="785" max="785" width="0" style="72" hidden="1" customWidth="1"/>
    <col min="786" max="786" width="3.5703125" style="72" customWidth="1"/>
    <col min="787" max="787" width="3.42578125" style="72" customWidth="1"/>
    <col min="788" max="789" width="3.5703125" style="72" customWidth="1"/>
    <col min="790" max="1024" width="9.140625" style="72"/>
    <col min="1025" max="1025" width="7.42578125" style="72" customWidth="1"/>
    <col min="1026" max="1026" width="9.42578125" style="72" customWidth="1"/>
    <col min="1027" max="1029" width="9.140625" style="72"/>
    <col min="1030" max="1035" width="3.7109375" style="72" customWidth="1"/>
    <col min="1036" max="1037" width="3.5703125" style="72" customWidth="1"/>
    <col min="1038" max="1038" width="4.85546875" style="72" customWidth="1"/>
    <col min="1039" max="1039" width="3.7109375" style="72" customWidth="1"/>
    <col min="1040" max="1040" width="5.28515625" style="72" customWidth="1"/>
    <col min="1041" max="1041" width="0" style="72" hidden="1" customWidth="1"/>
    <col min="1042" max="1042" width="3.5703125" style="72" customWidth="1"/>
    <col min="1043" max="1043" width="3.42578125" style="72" customWidth="1"/>
    <col min="1044" max="1045" width="3.5703125" style="72" customWidth="1"/>
    <col min="1046" max="1280" width="9.140625" style="72"/>
    <col min="1281" max="1281" width="7.42578125" style="72" customWidth="1"/>
    <col min="1282" max="1282" width="9.42578125" style="72" customWidth="1"/>
    <col min="1283" max="1285" width="9.140625" style="72"/>
    <col min="1286" max="1291" width="3.7109375" style="72" customWidth="1"/>
    <col min="1292" max="1293" width="3.5703125" style="72" customWidth="1"/>
    <col min="1294" max="1294" width="4.85546875" style="72" customWidth="1"/>
    <col min="1295" max="1295" width="3.7109375" style="72" customWidth="1"/>
    <col min="1296" max="1296" width="5.28515625" style="72" customWidth="1"/>
    <col min="1297" max="1297" width="0" style="72" hidden="1" customWidth="1"/>
    <col min="1298" max="1298" width="3.5703125" style="72" customWidth="1"/>
    <col min="1299" max="1299" width="3.42578125" style="72" customWidth="1"/>
    <col min="1300" max="1301" width="3.5703125" style="72" customWidth="1"/>
    <col min="1302" max="1536" width="9.140625" style="72"/>
    <col min="1537" max="1537" width="7.42578125" style="72" customWidth="1"/>
    <col min="1538" max="1538" width="9.42578125" style="72" customWidth="1"/>
    <col min="1539" max="1541" width="9.140625" style="72"/>
    <col min="1542" max="1547" width="3.7109375" style="72" customWidth="1"/>
    <col min="1548" max="1549" width="3.5703125" style="72" customWidth="1"/>
    <col min="1550" max="1550" width="4.85546875" style="72" customWidth="1"/>
    <col min="1551" max="1551" width="3.7109375" style="72" customWidth="1"/>
    <col min="1552" max="1552" width="5.28515625" style="72" customWidth="1"/>
    <col min="1553" max="1553" width="0" style="72" hidden="1" customWidth="1"/>
    <col min="1554" max="1554" width="3.5703125" style="72" customWidth="1"/>
    <col min="1555" max="1555" width="3.42578125" style="72" customWidth="1"/>
    <col min="1556" max="1557" width="3.5703125" style="72" customWidth="1"/>
    <col min="1558" max="1792" width="9.140625" style="72"/>
    <col min="1793" max="1793" width="7.42578125" style="72" customWidth="1"/>
    <col min="1794" max="1794" width="9.42578125" style="72" customWidth="1"/>
    <col min="1795" max="1797" width="9.140625" style="72"/>
    <col min="1798" max="1803" width="3.7109375" style="72" customWidth="1"/>
    <col min="1804" max="1805" width="3.5703125" style="72" customWidth="1"/>
    <col min="1806" max="1806" width="4.85546875" style="72" customWidth="1"/>
    <col min="1807" max="1807" width="3.7109375" style="72" customWidth="1"/>
    <col min="1808" max="1808" width="5.28515625" style="72" customWidth="1"/>
    <col min="1809" max="1809" width="0" style="72" hidden="1" customWidth="1"/>
    <col min="1810" max="1810" width="3.5703125" style="72" customWidth="1"/>
    <col min="1811" max="1811" width="3.42578125" style="72" customWidth="1"/>
    <col min="1812" max="1813" width="3.5703125" style="72" customWidth="1"/>
    <col min="1814" max="2048" width="9.140625" style="72"/>
    <col min="2049" max="2049" width="7.42578125" style="72" customWidth="1"/>
    <col min="2050" max="2050" width="9.42578125" style="72" customWidth="1"/>
    <col min="2051" max="2053" width="9.140625" style="72"/>
    <col min="2054" max="2059" width="3.7109375" style="72" customWidth="1"/>
    <col min="2060" max="2061" width="3.5703125" style="72" customWidth="1"/>
    <col min="2062" max="2062" width="4.85546875" style="72" customWidth="1"/>
    <col min="2063" max="2063" width="3.7109375" style="72" customWidth="1"/>
    <col min="2064" max="2064" width="5.28515625" style="72" customWidth="1"/>
    <col min="2065" max="2065" width="0" style="72" hidden="1" customWidth="1"/>
    <col min="2066" max="2066" width="3.5703125" style="72" customWidth="1"/>
    <col min="2067" max="2067" width="3.42578125" style="72" customWidth="1"/>
    <col min="2068" max="2069" width="3.5703125" style="72" customWidth="1"/>
    <col min="2070" max="2304" width="9.140625" style="72"/>
    <col min="2305" max="2305" width="7.42578125" style="72" customWidth="1"/>
    <col min="2306" max="2306" width="9.42578125" style="72" customWidth="1"/>
    <col min="2307" max="2309" width="9.140625" style="72"/>
    <col min="2310" max="2315" width="3.7109375" style="72" customWidth="1"/>
    <col min="2316" max="2317" width="3.5703125" style="72" customWidth="1"/>
    <col min="2318" max="2318" width="4.85546875" style="72" customWidth="1"/>
    <col min="2319" max="2319" width="3.7109375" style="72" customWidth="1"/>
    <col min="2320" max="2320" width="5.28515625" style="72" customWidth="1"/>
    <col min="2321" max="2321" width="0" style="72" hidden="1" customWidth="1"/>
    <col min="2322" max="2322" width="3.5703125" style="72" customWidth="1"/>
    <col min="2323" max="2323" width="3.42578125" style="72" customWidth="1"/>
    <col min="2324" max="2325" width="3.5703125" style="72" customWidth="1"/>
    <col min="2326" max="2560" width="9.140625" style="72"/>
    <col min="2561" max="2561" width="7.42578125" style="72" customWidth="1"/>
    <col min="2562" max="2562" width="9.42578125" style="72" customWidth="1"/>
    <col min="2563" max="2565" width="9.140625" style="72"/>
    <col min="2566" max="2571" width="3.7109375" style="72" customWidth="1"/>
    <col min="2572" max="2573" width="3.5703125" style="72" customWidth="1"/>
    <col min="2574" max="2574" width="4.85546875" style="72" customWidth="1"/>
    <col min="2575" max="2575" width="3.7109375" style="72" customWidth="1"/>
    <col min="2576" max="2576" width="5.28515625" style="72" customWidth="1"/>
    <col min="2577" max="2577" width="0" style="72" hidden="1" customWidth="1"/>
    <col min="2578" max="2578" width="3.5703125" style="72" customWidth="1"/>
    <col min="2579" max="2579" width="3.42578125" style="72" customWidth="1"/>
    <col min="2580" max="2581" width="3.5703125" style="72" customWidth="1"/>
    <col min="2582" max="2816" width="9.140625" style="72"/>
    <col min="2817" max="2817" width="7.42578125" style="72" customWidth="1"/>
    <col min="2818" max="2818" width="9.42578125" style="72" customWidth="1"/>
    <col min="2819" max="2821" width="9.140625" style="72"/>
    <col min="2822" max="2827" width="3.7109375" style="72" customWidth="1"/>
    <col min="2828" max="2829" width="3.5703125" style="72" customWidth="1"/>
    <col min="2830" max="2830" width="4.85546875" style="72" customWidth="1"/>
    <col min="2831" max="2831" width="3.7109375" style="72" customWidth="1"/>
    <col min="2832" max="2832" width="5.28515625" style="72" customWidth="1"/>
    <col min="2833" max="2833" width="0" style="72" hidden="1" customWidth="1"/>
    <col min="2834" max="2834" width="3.5703125" style="72" customWidth="1"/>
    <col min="2835" max="2835" width="3.42578125" style="72" customWidth="1"/>
    <col min="2836" max="2837" width="3.5703125" style="72" customWidth="1"/>
    <col min="2838" max="3072" width="9.140625" style="72"/>
    <col min="3073" max="3073" width="7.42578125" style="72" customWidth="1"/>
    <col min="3074" max="3074" width="9.42578125" style="72" customWidth="1"/>
    <col min="3075" max="3077" width="9.140625" style="72"/>
    <col min="3078" max="3083" width="3.7109375" style="72" customWidth="1"/>
    <col min="3084" max="3085" width="3.5703125" style="72" customWidth="1"/>
    <col min="3086" max="3086" width="4.85546875" style="72" customWidth="1"/>
    <col min="3087" max="3087" width="3.7109375" style="72" customWidth="1"/>
    <col min="3088" max="3088" width="5.28515625" style="72" customWidth="1"/>
    <col min="3089" max="3089" width="0" style="72" hidden="1" customWidth="1"/>
    <col min="3090" max="3090" width="3.5703125" style="72" customWidth="1"/>
    <col min="3091" max="3091" width="3.42578125" style="72" customWidth="1"/>
    <col min="3092" max="3093" width="3.5703125" style="72" customWidth="1"/>
    <col min="3094" max="3328" width="9.140625" style="72"/>
    <col min="3329" max="3329" width="7.42578125" style="72" customWidth="1"/>
    <col min="3330" max="3330" width="9.42578125" style="72" customWidth="1"/>
    <col min="3331" max="3333" width="9.140625" style="72"/>
    <col min="3334" max="3339" width="3.7109375" style="72" customWidth="1"/>
    <col min="3340" max="3341" width="3.5703125" style="72" customWidth="1"/>
    <col min="3342" max="3342" width="4.85546875" style="72" customWidth="1"/>
    <col min="3343" max="3343" width="3.7109375" style="72" customWidth="1"/>
    <col min="3344" max="3344" width="5.28515625" style="72" customWidth="1"/>
    <col min="3345" max="3345" width="0" style="72" hidden="1" customWidth="1"/>
    <col min="3346" max="3346" width="3.5703125" style="72" customWidth="1"/>
    <col min="3347" max="3347" width="3.42578125" style="72" customWidth="1"/>
    <col min="3348" max="3349" width="3.5703125" style="72" customWidth="1"/>
    <col min="3350" max="3584" width="9.140625" style="72"/>
    <col min="3585" max="3585" width="7.42578125" style="72" customWidth="1"/>
    <col min="3586" max="3586" width="9.42578125" style="72" customWidth="1"/>
    <col min="3587" max="3589" width="9.140625" style="72"/>
    <col min="3590" max="3595" width="3.7109375" style="72" customWidth="1"/>
    <col min="3596" max="3597" width="3.5703125" style="72" customWidth="1"/>
    <col min="3598" max="3598" width="4.85546875" style="72" customWidth="1"/>
    <col min="3599" max="3599" width="3.7109375" style="72" customWidth="1"/>
    <col min="3600" max="3600" width="5.28515625" style="72" customWidth="1"/>
    <col min="3601" max="3601" width="0" style="72" hidden="1" customWidth="1"/>
    <col min="3602" max="3602" width="3.5703125" style="72" customWidth="1"/>
    <col min="3603" max="3603" width="3.42578125" style="72" customWidth="1"/>
    <col min="3604" max="3605" width="3.5703125" style="72" customWidth="1"/>
    <col min="3606" max="3840" width="9.140625" style="72"/>
    <col min="3841" max="3841" width="7.42578125" style="72" customWidth="1"/>
    <col min="3842" max="3842" width="9.42578125" style="72" customWidth="1"/>
    <col min="3843" max="3845" width="9.140625" style="72"/>
    <col min="3846" max="3851" width="3.7109375" style="72" customWidth="1"/>
    <col min="3852" max="3853" width="3.5703125" style="72" customWidth="1"/>
    <col min="3854" max="3854" width="4.85546875" style="72" customWidth="1"/>
    <col min="3855" max="3855" width="3.7109375" style="72" customWidth="1"/>
    <col min="3856" max="3856" width="5.28515625" style="72" customWidth="1"/>
    <col min="3857" max="3857" width="0" style="72" hidden="1" customWidth="1"/>
    <col min="3858" max="3858" width="3.5703125" style="72" customWidth="1"/>
    <col min="3859" max="3859" width="3.42578125" style="72" customWidth="1"/>
    <col min="3860" max="3861" width="3.5703125" style="72" customWidth="1"/>
    <col min="3862" max="4096" width="9.140625" style="72"/>
    <col min="4097" max="4097" width="7.42578125" style="72" customWidth="1"/>
    <col min="4098" max="4098" width="9.42578125" style="72" customWidth="1"/>
    <col min="4099" max="4101" width="9.140625" style="72"/>
    <col min="4102" max="4107" width="3.7109375" style="72" customWidth="1"/>
    <col min="4108" max="4109" width="3.5703125" style="72" customWidth="1"/>
    <col min="4110" max="4110" width="4.85546875" style="72" customWidth="1"/>
    <col min="4111" max="4111" width="3.7109375" style="72" customWidth="1"/>
    <col min="4112" max="4112" width="5.28515625" style="72" customWidth="1"/>
    <col min="4113" max="4113" width="0" style="72" hidden="1" customWidth="1"/>
    <col min="4114" max="4114" width="3.5703125" style="72" customWidth="1"/>
    <col min="4115" max="4115" width="3.42578125" style="72" customWidth="1"/>
    <col min="4116" max="4117" width="3.5703125" style="72" customWidth="1"/>
    <col min="4118" max="4352" width="9.140625" style="72"/>
    <col min="4353" max="4353" width="7.42578125" style="72" customWidth="1"/>
    <col min="4354" max="4354" width="9.42578125" style="72" customWidth="1"/>
    <col min="4355" max="4357" width="9.140625" style="72"/>
    <col min="4358" max="4363" width="3.7109375" style="72" customWidth="1"/>
    <col min="4364" max="4365" width="3.5703125" style="72" customWidth="1"/>
    <col min="4366" max="4366" width="4.85546875" style="72" customWidth="1"/>
    <col min="4367" max="4367" width="3.7109375" style="72" customWidth="1"/>
    <col min="4368" max="4368" width="5.28515625" style="72" customWidth="1"/>
    <col min="4369" max="4369" width="0" style="72" hidden="1" customWidth="1"/>
    <col min="4370" max="4370" width="3.5703125" style="72" customWidth="1"/>
    <col min="4371" max="4371" width="3.42578125" style="72" customWidth="1"/>
    <col min="4372" max="4373" width="3.5703125" style="72" customWidth="1"/>
    <col min="4374" max="4608" width="9.140625" style="72"/>
    <col min="4609" max="4609" width="7.42578125" style="72" customWidth="1"/>
    <col min="4610" max="4610" width="9.42578125" style="72" customWidth="1"/>
    <col min="4611" max="4613" width="9.140625" style="72"/>
    <col min="4614" max="4619" width="3.7109375" style="72" customWidth="1"/>
    <col min="4620" max="4621" width="3.5703125" style="72" customWidth="1"/>
    <col min="4622" max="4622" width="4.85546875" style="72" customWidth="1"/>
    <col min="4623" max="4623" width="3.7109375" style="72" customWidth="1"/>
    <col min="4624" max="4624" width="5.28515625" style="72" customWidth="1"/>
    <col min="4625" max="4625" width="0" style="72" hidden="1" customWidth="1"/>
    <col min="4626" max="4626" width="3.5703125" style="72" customWidth="1"/>
    <col min="4627" max="4627" width="3.42578125" style="72" customWidth="1"/>
    <col min="4628" max="4629" width="3.5703125" style="72" customWidth="1"/>
    <col min="4630" max="4864" width="9.140625" style="72"/>
    <col min="4865" max="4865" width="7.42578125" style="72" customWidth="1"/>
    <col min="4866" max="4866" width="9.42578125" style="72" customWidth="1"/>
    <col min="4867" max="4869" width="9.140625" style="72"/>
    <col min="4870" max="4875" width="3.7109375" style="72" customWidth="1"/>
    <col min="4876" max="4877" width="3.5703125" style="72" customWidth="1"/>
    <col min="4878" max="4878" width="4.85546875" style="72" customWidth="1"/>
    <col min="4879" max="4879" width="3.7109375" style="72" customWidth="1"/>
    <col min="4880" max="4880" width="5.28515625" style="72" customWidth="1"/>
    <col min="4881" max="4881" width="0" style="72" hidden="1" customWidth="1"/>
    <col min="4882" max="4882" width="3.5703125" style="72" customWidth="1"/>
    <col min="4883" max="4883" width="3.42578125" style="72" customWidth="1"/>
    <col min="4884" max="4885" width="3.5703125" style="72" customWidth="1"/>
    <col min="4886" max="5120" width="9.140625" style="72"/>
    <col min="5121" max="5121" width="7.42578125" style="72" customWidth="1"/>
    <col min="5122" max="5122" width="9.42578125" style="72" customWidth="1"/>
    <col min="5123" max="5125" width="9.140625" style="72"/>
    <col min="5126" max="5131" width="3.7109375" style="72" customWidth="1"/>
    <col min="5132" max="5133" width="3.5703125" style="72" customWidth="1"/>
    <col min="5134" max="5134" width="4.85546875" style="72" customWidth="1"/>
    <col min="5135" max="5135" width="3.7109375" style="72" customWidth="1"/>
    <col min="5136" max="5136" width="5.28515625" style="72" customWidth="1"/>
    <col min="5137" max="5137" width="0" style="72" hidden="1" customWidth="1"/>
    <col min="5138" max="5138" width="3.5703125" style="72" customWidth="1"/>
    <col min="5139" max="5139" width="3.42578125" style="72" customWidth="1"/>
    <col min="5140" max="5141" width="3.5703125" style="72" customWidth="1"/>
    <col min="5142" max="5376" width="9.140625" style="72"/>
    <col min="5377" max="5377" width="7.42578125" style="72" customWidth="1"/>
    <col min="5378" max="5378" width="9.42578125" style="72" customWidth="1"/>
    <col min="5379" max="5381" width="9.140625" style="72"/>
    <col min="5382" max="5387" width="3.7109375" style="72" customWidth="1"/>
    <col min="5388" max="5389" width="3.5703125" style="72" customWidth="1"/>
    <col min="5390" max="5390" width="4.85546875" style="72" customWidth="1"/>
    <col min="5391" max="5391" width="3.7109375" style="72" customWidth="1"/>
    <col min="5392" max="5392" width="5.28515625" style="72" customWidth="1"/>
    <col min="5393" max="5393" width="0" style="72" hidden="1" customWidth="1"/>
    <col min="5394" max="5394" width="3.5703125" style="72" customWidth="1"/>
    <col min="5395" max="5395" width="3.42578125" style="72" customWidth="1"/>
    <col min="5396" max="5397" width="3.5703125" style="72" customWidth="1"/>
    <col min="5398" max="5632" width="9.140625" style="72"/>
    <col min="5633" max="5633" width="7.42578125" style="72" customWidth="1"/>
    <col min="5634" max="5634" width="9.42578125" style="72" customWidth="1"/>
    <col min="5635" max="5637" width="9.140625" style="72"/>
    <col min="5638" max="5643" width="3.7109375" style="72" customWidth="1"/>
    <col min="5644" max="5645" width="3.5703125" style="72" customWidth="1"/>
    <col min="5646" max="5646" width="4.85546875" style="72" customWidth="1"/>
    <col min="5647" max="5647" width="3.7109375" style="72" customWidth="1"/>
    <col min="5648" max="5648" width="5.28515625" style="72" customWidth="1"/>
    <col min="5649" max="5649" width="0" style="72" hidden="1" customWidth="1"/>
    <col min="5650" max="5650" width="3.5703125" style="72" customWidth="1"/>
    <col min="5651" max="5651" width="3.42578125" style="72" customWidth="1"/>
    <col min="5652" max="5653" width="3.5703125" style="72" customWidth="1"/>
    <col min="5654" max="5888" width="9.140625" style="72"/>
    <col min="5889" max="5889" width="7.42578125" style="72" customWidth="1"/>
    <col min="5890" max="5890" width="9.42578125" style="72" customWidth="1"/>
    <col min="5891" max="5893" width="9.140625" style="72"/>
    <col min="5894" max="5899" width="3.7109375" style="72" customWidth="1"/>
    <col min="5900" max="5901" width="3.5703125" style="72" customWidth="1"/>
    <col min="5902" max="5902" width="4.85546875" style="72" customWidth="1"/>
    <col min="5903" max="5903" width="3.7109375" style="72" customWidth="1"/>
    <col min="5904" max="5904" width="5.28515625" style="72" customWidth="1"/>
    <col min="5905" max="5905" width="0" style="72" hidden="1" customWidth="1"/>
    <col min="5906" max="5906" width="3.5703125" style="72" customWidth="1"/>
    <col min="5907" max="5907" width="3.42578125" style="72" customWidth="1"/>
    <col min="5908" max="5909" width="3.5703125" style="72" customWidth="1"/>
    <col min="5910" max="6144" width="9.140625" style="72"/>
    <col min="6145" max="6145" width="7.42578125" style="72" customWidth="1"/>
    <col min="6146" max="6146" width="9.42578125" style="72" customWidth="1"/>
    <col min="6147" max="6149" width="9.140625" style="72"/>
    <col min="6150" max="6155" width="3.7109375" style="72" customWidth="1"/>
    <col min="6156" max="6157" width="3.5703125" style="72" customWidth="1"/>
    <col min="6158" max="6158" width="4.85546875" style="72" customWidth="1"/>
    <col min="6159" max="6159" width="3.7109375" style="72" customWidth="1"/>
    <col min="6160" max="6160" width="5.28515625" style="72" customWidth="1"/>
    <col min="6161" max="6161" width="0" style="72" hidden="1" customWidth="1"/>
    <col min="6162" max="6162" width="3.5703125" style="72" customWidth="1"/>
    <col min="6163" max="6163" width="3.42578125" style="72" customWidth="1"/>
    <col min="6164" max="6165" width="3.5703125" style="72" customWidth="1"/>
    <col min="6166" max="6400" width="9.140625" style="72"/>
    <col min="6401" max="6401" width="7.42578125" style="72" customWidth="1"/>
    <col min="6402" max="6402" width="9.42578125" style="72" customWidth="1"/>
    <col min="6403" max="6405" width="9.140625" style="72"/>
    <col min="6406" max="6411" width="3.7109375" style="72" customWidth="1"/>
    <col min="6412" max="6413" width="3.5703125" style="72" customWidth="1"/>
    <col min="6414" max="6414" width="4.85546875" style="72" customWidth="1"/>
    <col min="6415" max="6415" width="3.7109375" style="72" customWidth="1"/>
    <col min="6416" max="6416" width="5.28515625" style="72" customWidth="1"/>
    <col min="6417" max="6417" width="0" style="72" hidden="1" customWidth="1"/>
    <col min="6418" max="6418" width="3.5703125" style="72" customWidth="1"/>
    <col min="6419" max="6419" width="3.42578125" style="72" customWidth="1"/>
    <col min="6420" max="6421" width="3.5703125" style="72" customWidth="1"/>
    <col min="6422" max="6656" width="9.140625" style="72"/>
    <col min="6657" max="6657" width="7.42578125" style="72" customWidth="1"/>
    <col min="6658" max="6658" width="9.42578125" style="72" customWidth="1"/>
    <col min="6659" max="6661" width="9.140625" style="72"/>
    <col min="6662" max="6667" width="3.7109375" style="72" customWidth="1"/>
    <col min="6668" max="6669" width="3.5703125" style="72" customWidth="1"/>
    <col min="6670" max="6670" width="4.85546875" style="72" customWidth="1"/>
    <col min="6671" max="6671" width="3.7109375" style="72" customWidth="1"/>
    <col min="6672" max="6672" width="5.28515625" style="72" customWidth="1"/>
    <col min="6673" max="6673" width="0" style="72" hidden="1" customWidth="1"/>
    <col min="6674" max="6674" width="3.5703125" style="72" customWidth="1"/>
    <col min="6675" max="6675" width="3.42578125" style="72" customWidth="1"/>
    <col min="6676" max="6677" width="3.5703125" style="72" customWidth="1"/>
    <col min="6678" max="6912" width="9.140625" style="72"/>
    <col min="6913" max="6913" width="7.42578125" style="72" customWidth="1"/>
    <col min="6914" max="6914" width="9.42578125" style="72" customWidth="1"/>
    <col min="6915" max="6917" width="9.140625" style="72"/>
    <col min="6918" max="6923" width="3.7109375" style="72" customWidth="1"/>
    <col min="6924" max="6925" width="3.5703125" style="72" customWidth="1"/>
    <col min="6926" max="6926" width="4.85546875" style="72" customWidth="1"/>
    <col min="6927" max="6927" width="3.7109375" style="72" customWidth="1"/>
    <col min="6928" max="6928" width="5.28515625" style="72" customWidth="1"/>
    <col min="6929" max="6929" width="0" style="72" hidden="1" customWidth="1"/>
    <col min="6930" max="6930" width="3.5703125" style="72" customWidth="1"/>
    <col min="6931" max="6931" width="3.42578125" style="72" customWidth="1"/>
    <col min="6932" max="6933" width="3.5703125" style="72" customWidth="1"/>
    <col min="6934" max="7168" width="9.140625" style="72"/>
    <col min="7169" max="7169" width="7.42578125" style="72" customWidth="1"/>
    <col min="7170" max="7170" width="9.42578125" style="72" customWidth="1"/>
    <col min="7171" max="7173" width="9.140625" style="72"/>
    <col min="7174" max="7179" width="3.7109375" style="72" customWidth="1"/>
    <col min="7180" max="7181" width="3.5703125" style="72" customWidth="1"/>
    <col min="7182" max="7182" width="4.85546875" style="72" customWidth="1"/>
    <col min="7183" max="7183" width="3.7109375" style="72" customWidth="1"/>
    <col min="7184" max="7184" width="5.28515625" style="72" customWidth="1"/>
    <col min="7185" max="7185" width="0" style="72" hidden="1" customWidth="1"/>
    <col min="7186" max="7186" width="3.5703125" style="72" customWidth="1"/>
    <col min="7187" max="7187" width="3.42578125" style="72" customWidth="1"/>
    <col min="7188" max="7189" width="3.5703125" style="72" customWidth="1"/>
    <col min="7190" max="7424" width="9.140625" style="72"/>
    <col min="7425" max="7425" width="7.42578125" style="72" customWidth="1"/>
    <col min="7426" max="7426" width="9.42578125" style="72" customWidth="1"/>
    <col min="7427" max="7429" width="9.140625" style="72"/>
    <col min="7430" max="7435" width="3.7109375" style="72" customWidth="1"/>
    <col min="7436" max="7437" width="3.5703125" style="72" customWidth="1"/>
    <col min="7438" max="7438" width="4.85546875" style="72" customWidth="1"/>
    <col min="7439" max="7439" width="3.7109375" style="72" customWidth="1"/>
    <col min="7440" max="7440" width="5.28515625" style="72" customWidth="1"/>
    <col min="7441" max="7441" width="0" style="72" hidden="1" customWidth="1"/>
    <col min="7442" max="7442" width="3.5703125" style="72" customWidth="1"/>
    <col min="7443" max="7443" width="3.42578125" style="72" customWidth="1"/>
    <col min="7444" max="7445" width="3.5703125" style="72" customWidth="1"/>
    <col min="7446" max="7680" width="9.140625" style="72"/>
    <col min="7681" max="7681" width="7.42578125" style="72" customWidth="1"/>
    <col min="7682" max="7682" width="9.42578125" style="72" customWidth="1"/>
    <col min="7683" max="7685" width="9.140625" style="72"/>
    <col min="7686" max="7691" width="3.7109375" style="72" customWidth="1"/>
    <col min="7692" max="7693" width="3.5703125" style="72" customWidth="1"/>
    <col min="7694" max="7694" width="4.85546875" style="72" customWidth="1"/>
    <col min="7695" max="7695" width="3.7109375" style="72" customWidth="1"/>
    <col min="7696" max="7696" width="5.28515625" style="72" customWidth="1"/>
    <col min="7697" max="7697" width="0" style="72" hidden="1" customWidth="1"/>
    <col min="7698" max="7698" width="3.5703125" style="72" customWidth="1"/>
    <col min="7699" max="7699" width="3.42578125" style="72" customWidth="1"/>
    <col min="7700" max="7701" width="3.5703125" style="72" customWidth="1"/>
    <col min="7702" max="7936" width="9.140625" style="72"/>
    <col min="7937" max="7937" width="7.42578125" style="72" customWidth="1"/>
    <col min="7938" max="7938" width="9.42578125" style="72" customWidth="1"/>
    <col min="7939" max="7941" width="9.140625" style="72"/>
    <col min="7942" max="7947" width="3.7109375" style="72" customWidth="1"/>
    <col min="7948" max="7949" width="3.5703125" style="72" customWidth="1"/>
    <col min="7950" max="7950" width="4.85546875" style="72" customWidth="1"/>
    <col min="7951" max="7951" width="3.7109375" style="72" customWidth="1"/>
    <col min="7952" max="7952" width="5.28515625" style="72" customWidth="1"/>
    <col min="7953" max="7953" width="0" style="72" hidden="1" customWidth="1"/>
    <col min="7954" max="7954" width="3.5703125" style="72" customWidth="1"/>
    <col min="7955" max="7955" width="3.42578125" style="72" customWidth="1"/>
    <col min="7956" max="7957" width="3.5703125" style="72" customWidth="1"/>
    <col min="7958" max="8192" width="9.140625" style="72"/>
    <col min="8193" max="8193" width="7.42578125" style="72" customWidth="1"/>
    <col min="8194" max="8194" width="9.42578125" style="72" customWidth="1"/>
    <col min="8195" max="8197" width="9.140625" style="72"/>
    <col min="8198" max="8203" width="3.7109375" style="72" customWidth="1"/>
    <col min="8204" max="8205" width="3.5703125" style="72" customWidth="1"/>
    <col min="8206" max="8206" width="4.85546875" style="72" customWidth="1"/>
    <col min="8207" max="8207" width="3.7109375" style="72" customWidth="1"/>
    <col min="8208" max="8208" width="5.28515625" style="72" customWidth="1"/>
    <col min="8209" max="8209" width="0" style="72" hidden="1" customWidth="1"/>
    <col min="8210" max="8210" width="3.5703125" style="72" customWidth="1"/>
    <col min="8211" max="8211" width="3.42578125" style="72" customWidth="1"/>
    <col min="8212" max="8213" width="3.5703125" style="72" customWidth="1"/>
    <col min="8214" max="8448" width="9.140625" style="72"/>
    <col min="8449" max="8449" width="7.42578125" style="72" customWidth="1"/>
    <col min="8450" max="8450" width="9.42578125" style="72" customWidth="1"/>
    <col min="8451" max="8453" width="9.140625" style="72"/>
    <col min="8454" max="8459" width="3.7109375" style="72" customWidth="1"/>
    <col min="8460" max="8461" width="3.5703125" style="72" customWidth="1"/>
    <col min="8462" max="8462" width="4.85546875" style="72" customWidth="1"/>
    <col min="8463" max="8463" width="3.7109375" style="72" customWidth="1"/>
    <col min="8464" max="8464" width="5.28515625" style="72" customWidth="1"/>
    <col min="8465" max="8465" width="0" style="72" hidden="1" customWidth="1"/>
    <col min="8466" max="8466" width="3.5703125" style="72" customWidth="1"/>
    <col min="8467" max="8467" width="3.42578125" style="72" customWidth="1"/>
    <col min="8468" max="8469" width="3.5703125" style="72" customWidth="1"/>
    <col min="8470" max="8704" width="9.140625" style="72"/>
    <col min="8705" max="8705" width="7.42578125" style="72" customWidth="1"/>
    <col min="8706" max="8706" width="9.42578125" style="72" customWidth="1"/>
    <col min="8707" max="8709" width="9.140625" style="72"/>
    <col min="8710" max="8715" width="3.7109375" style="72" customWidth="1"/>
    <col min="8716" max="8717" width="3.5703125" style="72" customWidth="1"/>
    <col min="8718" max="8718" width="4.85546875" style="72" customWidth="1"/>
    <col min="8719" max="8719" width="3.7109375" style="72" customWidth="1"/>
    <col min="8720" max="8720" width="5.28515625" style="72" customWidth="1"/>
    <col min="8721" max="8721" width="0" style="72" hidden="1" customWidth="1"/>
    <col min="8722" max="8722" width="3.5703125" style="72" customWidth="1"/>
    <col min="8723" max="8723" width="3.42578125" style="72" customWidth="1"/>
    <col min="8724" max="8725" width="3.5703125" style="72" customWidth="1"/>
    <col min="8726" max="8960" width="9.140625" style="72"/>
    <col min="8961" max="8961" width="7.42578125" style="72" customWidth="1"/>
    <col min="8962" max="8962" width="9.42578125" style="72" customWidth="1"/>
    <col min="8963" max="8965" width="9.140625" style="72"/>
    <col min="8966" max="8971" width="3.7109375" style="72" customWidth="1"/>
    <col min="8972" max="8973" width="3.5703125" style="72" customWidth="1"/>
    <col min="8974" max="8974" width="4.85546875" style="72" customWidth="1"/>
    <col min="8975" max="8975" width="3.7109375" style="72" customWidth="1"/>
    <col min="8976" max="8976" width="5.28515625" style="72" customWidth="1"/>
    <col min="8977" max="8977" width="0" style="72" hidden="1" customWidth="1"/>
    <col min="8978" max="8978" width="3.5703125" style="72" customWidth="1"/>
    <col min="8979" max="8979" width="3.42578125" style="72" customWidth="1"/>
    <col min="8980" max="8981" width="3.5703125" style="72" customWidth="1"/>
    <col min="8982" max="9216" width="9.140625" style="72"/>
    <col min="9217" max="9217" width="7.42578125" style="72" customWidth="1"/>
    <col min="9218" max="9218" width="9.42578125" style="72" customWidth="1"/>
    <col min="9219" max="9221" width="9.140625" style="72"/>
    <col min="9222" max="9227" width="3.7109375" style="72" customWidth="1"/>
    <col min="9228" max="9229" width="3.5703125" style="72" customWidth="1"/>
    <col min="9230" max="9230" width="4.85546875" style="72" customWidth="1"/>
    <col min="9231" max="9231" width="3.7109375" style="72" customWidth="1"/>
    <col min="9232" max="9232" width="5.28515625" style="72" customWidth="1"/>
    <col min="9233" max="9233" width="0" style="72" hidden="1" customWidth="1"/>
    <col min="9234" max="9234" width="3.5703125" style="72" customWidth="1"/>
    <col min="9235" max="9235" width="3.42578125" style="72" customWidth="1"/>
    <col min="9236" max="9237" width="3.5703125" style="72" customWidth="1"/>
    <col min="9238" max="9472" width="9.140625" style="72"/>
    <col min="9473" max="9473" width="7.42578125" style="72" customWidth="1"/>
    <col min="9474" max="9474" width="9.42578125" style="72" customWidth="1"/>
    <col min="9475" max="9477" width="9.140625" style="72"/>
    <col min="9478" max="9483" width="3.7109375" style="72" customWidth="1"/>
    <col min="9484" max="9485" width="3.5703125" style="72" customWidth="1"/>
    <col min="9486" max="9486" width="4.85546875" style="72" customWidth="1"/>
    <col min="9487" max="9487" width="3.7109375" style="72" customWidth="1"/>
    <col min="9488" max="9488" width="5.28515625" style="72" customWidth="1"/>
    <col min="9489" max="9489" width="0" style="72" hidden="1" customWidth="1"/>
    <col min="9490" max="9490" width="3.5703125" style="72" customWidth="1"/>
    <col min="9491" max="9491" width="3.42578125" style="72" customWidth="1"/>
    <col min="9492" max="9493" width="3.5703125" style="72" customWidth="1"/>
    <col min="9494" max="9728" width="9.140625" style="72"/>
    <col min="9729" max="9729" width="7.42578125" style="72" customWidth="1"/>
    <col min="9730" max="9730" width="9.42578125" style="72" customWidth="1"/>
    <col min="9731" max="9733" width="9.140625" style="72"/>
    <col min="9734" max="9739" width="3.7109375" style="72" customWidth="1"/>
    <col min="9740" max="9741" width="3.5703125" style="72" customWidth="1"/>
    <col min="9742" max="9742" width="4.85546875" style="72" customWidth="1"/>
    <col min="9743" max="9743" width="3.7109375" style="72" customWidth="1"/>
    <col min="9744" max="9744" width="5.28515625" style="72" customWidth="1"/>
    <col min="9745" max="9745" width="0" style="72" hidden="1" customWidth="1"/>
    <col min="9746" max="9746" width="3.5703125" style="72" customWidth="1"/>
    <col min="9747" max="9747" width="3.42578125" style="72" customWidth="1"/>
    <col min="9748" max="9749" width="3.5703125" style="72" customWidth="1"/>
    <col min="9750" max="9984" width="9.140625" style="72"/>
    <col min="9985" max="9985" width="7.42578125" style="72" customWidth="1"/>
    <col min="9986" max="9986" width="9.42578125" style="72" customWidth="1"/>
    <col min="9987" max="9989" width="9.140625" style="72"/>
    <col min="9990" max="9995" width="3.7109375" style="72" customWidth="1"/>
    <col min="9996" max="9997" width="3.5703125" style="72" customWidth="1"/>
    <col min="9998" max="9998" width="4.85546875" style="72" customWidth="1"/>
    <col min="9999" max="9999" width="3.7109375" style="72" customWidth="1"/>
    <col min="10000" max="10000" width="5.28515625" style="72" customWidth="1"/>
    <col min="10001" max="10001" width="0" style="72" hidden="1" customWidth="1"/>
    <col min="10002" max="10002" width="3.5703125" style="72" customWidth="1"/>
    <col min="10003" max="10003" width="3.42578125" style="72" customWidth="1"/>
    <col min="10004" max="10005" width="3.5703125" style="72" customWidth="1"/>
    <col min="10006" max="10240" width="9.140625" style="72"/>
    <col min="10241" max="10241" width="7.42578125" style="72" customWidth="1"/>
    <col min="10242" max="10242" width="9.42578125" style="72" customWidth="1"/>
    <col min="10243" max="10245" width="9.140625" style="72"/>
    <col min="10246" max="10251" width="3.7109375" style="72" customWidth="1"/>
    <col min="10252" max="10253" width="3.5703125" style="72" customWidth="1"/>
    <col min="10254" max="10254" width="4.85546875" style="72" customWidth="1"/>
    <col min="10255" max="10255" width="3.7109375" style="72" customWidth="1"/>
    <col min="10256" max="10256" width="5.28515625" style="72" customWidth="1"/>
    <col min="10257" max="10257" width="0" style="72" hidden="1" customWidth="1"/>
    <col min="10258" max="10258" width="3.5703125" style="72" customWidth="1"/>
    <col min="10259" max="10259" width="3.42578125" style="72" customWidth="1"/>
    <col min="10260" max="10261" width="3.5703125" style="72" customWidth="1"/>
    <col min="10262" max="10496" width="9.140625" style="72"/>
    <col min="10497" max="10497" width="7.42578125" style="72" customWidth="1"/>
    <col min="10498" max="10498" width="9.42578125" style="72" customWidth="1"/>
    <col min="10499" max="10501" width="9.140625" style="72"/>
    <col min="10502" max="10507" width="3.7109375" style="72" customWidth="1"/>
    <col min="10508" max="10509" width="3.5703125" style="72" customWidth="1"/>
    <col min="10510" max="10510" width="4.85546875" style="72" customWidth="1"/>
    <col min="10511" max="10511" width="3.7109375" style="72" customWidth="1"/>
    <col min="10512" max="10512" width="5.28515625" style="72" customWidth="1"/>
    <col min="10513" max="10513" width="0" style="72" hidden="1" customWidth="1"/>
    <col min="10514" max="10514" width="3.5703125" style="72" customWidth="1"/>
    <col min="10515" max="10515" width="3.42578125" style="72" customWidth="1"/>
    <col min="10516" max="10517" width="3.5703125" style="72" customWidth="1"/>
    <col min="10518" max="10752" width="9.140625" style="72"/>
    <col min="10753" max="10753" width="7.42578125" style="72" customWidth="1"/>
    <col min="10754" max="10754" width="9.42578125" style="72" customWidth="1"/>
    <col min="10755" max="10757" width="9.140625" style="72"/>
    <col min="10758" max="10763" width="3.7109375" style="72" customWidth="1"/>
    <col min="10764" max="10765" width="3.5703125" style="72" customWidth="1"/>
    <col min="10766" max="10766" width="4.85546875" style="72" customWidth="1"/>
    <col min="10767" max="10767" width="3.7109375" style="72" customWidth="1"/>
    <col min="10768" max="10768" width="5.28515625" style="72" customWidth="1"/>
    <col min="10769" max="10769" width="0" style="72" hidden="1" customWidth="1"/>
    <col min="10770" max="10770" width="3.5703125" style="72" customWidth="1"/>
    <col min="10771" max="10771" width="3.42578125" style="72" customWidth="1"/>
    <col min="10772" max="10773" width="3.5703125" style="72" customWidth="1"/>
    <col min="10774" max="11008" width="9.140625" style="72"/>
    <col min="11009" max="11009" width="7.42578125" style="72" customWidth="1"/>
    <col min="11010" max="11010" width="9.42578125" style="72" customWidth="1"/>
    <col min="11011" max="11013" width="9.140625" style="72"/>
    <col min="11014" max="11019" width="3.7109375" style="72" customWidth="1"/>
    <col min="11020" max="11021" width="3.5703125" style="72" customWidth="1"/>
    <col min="11022" max="11022" width="4.85546875" style="72" customWidth="1"/>
    <col min="11023" max="11023" width="3.7109375" style="72" customWidth="1"/>
    <col min="11024" max="11024" width="5.28515625" style="72" customWidth="1"/>
    <col min="11025" max="11025" width="0" style="72" hidden="1" customWidth="1"/>
    <col min="11026" max="11026" width="3.5703125" style="72" customWidth="1"/>
    <col min="11027" max="11027" width="3.42578125" style="72" customWidth="1"/>
    <col min="11028" max="11029" width="3.5703125" style="72" customWidth="1"/>
    <col min="11030" max="11264" width="9.140625" style="72"/>
    <col min="11265" max="11265" width="7.42578125" style="72" customWidth="1"/>
    <col min="11266" max="11266" width="9.42578125" style="72" customWidth="1"/>
    <col min="11267" max="11269" width="9.140625" style="72"/>
    <col min="11270" max="11275" width="3.7109375" style="72" customWidth="1"/>
    <col min="11276" max="11277" width="3.5703125" style="72" customWidth="1"/>
    <col min="11278" max="11278" width="4.85546875" style="72" customWidth="1"/>
    <col min="11279" max="11279" width="3.7109375" style="72" customWidth="1"/>
    <col min="11280" max="11280" width="5.28515625" style="72" customWidth="1"/>
    <col min="11281" max="11281" width="0" style="72" hidden="1" customWidth="1"/>
    <col min="11282" max="11282" width="3.5703125" style="72" customWidth="1"/>
    <col min="11283" max="11283" width="3.42578125" style="72" customWidth="1"/>
    <col min="11284" max="11285" width="3.5703125" style="72" customWidth="1"/>
    <col min="11286" max="11520" width="9.140625" style="72"/>
    <col min="11521" max="11521" width="7.42578125" style="72" customWidth="1"/>
    <col min="11522" max="11522" width="9.42578125" style="72" customWidth="1"/>
    <col min="11523" max="11525" width="9.140625" style="72"/>
    <col min="11526" max="11531" width="3.7109375" style="72" customWidth="1"/>
    <col min="11532" max="11533" width="3.5703125" style="72" customWidth="1"/>
    <col min="11534" max="11534" width="4.85546875" style="72" customWidth="1"/>
    <col min="11535" max="11535" width="3.7109375" style="72" customWidth="1"/>
    <col min="11536" max="11536" width="5.28515625" style="72" customWidth="1"/>
    <col min="11537" max="11537" width="0" style="72" hidden="1" customWidth="1"/>
    <col min="11538" max="11538" width="3.5703125" style="72" customWidth="1"/>
    <col min="11539" max="11539" width="3.42578125" style="72" customWidth="1"/>
    <col min="11540" max="11541" width="3.5703125" style="72" customWidth="1"/>
    <col min="11542" max="11776" width="9.140625" style="72"/>
    <col min="11777" max="11777" width="7.42578125" style="72" customWidth="1"/>
    <col min="11778" max="11778" width="9.42578125" style="72" customWidth="1"/>
    <col min="11779" max="11781" width="9.140625" style="72"/>
    <col min="11782" max="11787" width="3.7109375" style="72" customWidth="1"/>
    <col min="11788" max="11789" width="3.5703125" style="72" customWidth="1"/>
    <col min="11790" max="11790" width="4.85546875" style="72" customWidth="1"/>
    <col min="11791" max="11791" width="3.7109375" style="72" customWidth="1"/>
    <col min="11792" max="11792" width="5.28515625" style="72" customWidth="1"/>
    <col min="11793" max="11793" width="0" style="72" hidden="1" customWidth="1"/>
    <col min="11794" max="11794" width="3.5703125" style="72" customWidth="1"/>
    <col min="11795" max="11795" width="3.42578125" style="72" customWidth="1"/>
    <col min="11796" max="11797" width="3.5703125" style="72" customWidth="1"/>
    <col min="11798" max="12032" width="9.140625" style="72"/>
    <col min="12033" max="12033" width="7.42578125" style="72" customWidth="1"/>
    <col min="12034" max="12034" width="9.42578125" style="72" customWidth="1"/>
    <col min="12035" max="12037" width="9.140625" style="72"/>
    <col min="12038" max="12043" width="3.7109375" style="72" customWidth="1"/>
    <col min="12044" max="12045" width="3.5703125" style="72" customWidth="1"/>
    <col min="12046" max="12046" width="4.85546875" style="72" customWidth="1"/>
    <col min="12047" max="12047" width="3.7109375" style="72" customWidth="1"/>
    <col min="12048" max="12048" width="5.28515625" style="72" customWidth="1"/>
    <col min="12049" max="12049" width="0" style="72" hidden="1" customWidth="1"/>
    <col min="12050" max="12050" width="3.5703125" style="72" customWidth="1"/>
    <col min="12051" max="12051" width="3.42578125" style="72" customWidth="1"/>
    <col min="12052" max="12053" width="3.5703125" style="72" customWidth="1"/>
    <col min="12054" max="12288" width="9.140625" style="72"/>
    <col min="12289" max="12289" width="7.42578125" style="72" customWidth="1"/>
    <col min="12290" max="12290" width="9.42578125" style="72" customWidth="1"/>
    <col min="12291" max="12293" width="9.140625" style="72"/>
    <col min="12294" max="12299" width="3.7109375" style="72" customWidth="1"/>
    <col min="12300" max="12301" width="3.5703125" style="72" customWidth="1"/>
    <col min="12302" max="12302" width="4.85546875" style="72" customWidth="1"/>
    <col min="12303" max="12303" width="3.7109375" style="72" customWidth="1"/>
    <col min="12304" max="12304" width="5.28515625" style="72" customWidth="1"/>
    <col min="12305" max="12305" width="0" style="72" hidden="1" customWidth="1"/>
    <col min="12306" max="12306" width="3.5703125" style="72" customWidth="1"/>
    <col min="12307" max="12307" width="3.42578125" style="72" customWidth="1"/>
    <col min="12308" max="12309" width="3.5703125" style="72" customWidth="1"/>
    <col min="12310" max="12544" width="9.140625" style="72"/>
    <col min="12545" max="12545" width="7.42578125" style="72" customWidth="1"/>
    <col min="12546" max="12546" width="9.42578125" style="72" customWidth="1"/>
    <col min="12547" max="12549" width="9.140625" style="72"/>
    <col min="12550" max="12555" width="3.7109375" style="72" customWidth="1"/>
    <col min="12556" max="12557" width="3.5703125" style="72" customWidth="1"/>
    <col min="12558" max="12558" width="4.85546875" style="72" customWidth="1"/>
    <col min="12559" max="12559" width="3.7109375" style="72" customWidth="1"/>
    <col min="12560" max="12560" width="5.28515625" style="72" customWidth="1"/>
    <col min="12561" max="12561" width="0" style="72" hidden="1" customWidth="1"/>
    <col min="12562" max="12562" width="3.5703125" style="72" customWidth="1"/>
    <col min="12563" max="12563" width="3.42578125" style="72" customWidth="1"/>
    <col min="12564" max="12565" width="3.5703125" style="72" customWidth="1"/>
    <col min="12566" max="12800" width="9.140625" style="72"/>
    <col min="12801" max="12801" width="7.42578125" style="72" customWidth="1"/>
    <col min="12802" max="12802" width="9.42578125" style="72" customWidth="1"/>
    <col min="12803" max="12805" width="9.140625" style="72"/>
    <col min="12806" max="12811" width="3.7109375" style="72" customWidth="1"/>
    <col min="12812" max="12813" width="3.5703125" style="72" customWidth="1"/>
    <col min="12814" max="12814" width="4.85546875" style="72" customWidth="1"/>
    <col min="12815" max="12815" width="3.7109375" style="72" customWidth="1"/>
    <col min="12816" max="12816" width="5.28515625" style="72" customWidth="1"/>
    <col min="12817" max="12817" width="0" style="72" hidden="1" customWidth="1"/>
    <col min="12818" max="12818" width="3.5703125" style="72" customWidth="1"/>
    <col min="12819" max="12819" width="3.42578125" style="72" customWidth="1"/>
    <col min="12820" max="12821" width="3.5703125" style="72" customWidth="1"/>
    <col min="12822" max="13056" width="9.140625" style="72"/>
    <col min="13057" max="13057" width="7.42578125" style="72" customWidth="1"/>
    <col min="13058" max="13058" width="9.42578125" style="72" customWidth="1"/>
    <col min="13059" max="13061" width="9.140625" style="72"/>
    <col min="13062" max="13067" width="3.7109375" style="72" customWidth="1"/>
    <col min="13068" max="13069" width="3.5703125" style="72" customWidth="1"/>
    <col min="13070" max="13070" width="4.85546875" style="72" customWidth="1"/>
    <col min="13071" max="13071" width="3.7109375" style="72" customWidth="1"/>
    <col min="13072" max="13072" width="5.28515625" style="72" customWidth="1"/>
    <col min="13073" max="13073" width="0" style="72" hidden="1" customWidth="1"/>
    <col min="13074" max="13074" width="3.5703125" style="72" customWidth="1"/>
    <col min="13075" max="13075" width="3.42578125" style="72" customWidth="1"/>
    <col min="13076" max="13077" width="3.5703125" style="72" customWidth="1"/>
    <col min="13078" max="13312" width="9.140625" style="72"/>
    <col min="13313" max="13313" width="7.42578125" style="72" customWidth="1"/>
    <col min="13314" max="13314" width="9.42578125" style="72" customWidth="1"/>
    <col min="13315" max="13317" width="9.140625" style="72"/>
    <col min="13318" max="13323" width="3.7109375" style="72" customWidth="1"/>
    <col min="13324" max="13325" width="3.5703125" style="72" customWidth="1"/>
    <col min="13326" max="13326" width="4.85546875" style="72" customWidth="1"/>
    <col min="13327" max="13327" width="3.7109375" style="72" customWidth="1"/>
    <col min="13328" max="13328" width="5.28515625" style="72" customWidth="1"/>
    <col min="13329" max="13329" width="0" style="72" hidden="1" customWidth="1"/>
    <col min="13330" max="13330" width="3.5703125" style="72" customWidth="1"/>
    <col min="13331" max="13331" width="3.42578125" style="72" customWidth="1"/>
    <col min="13332" max="13333" width="3.5703125" style="72" customWidth="1"/>
    <col min="13334" max="13568" width="9.140625" style="72"/>
    <col min="13569" max="13569" width="7.42578125" style="72" customWidth="1"/>
    <col min="13570" max="13570" width="9.42578125" style="72" customWidth="1"/>
    <col min="13571" max="13573" width="9.140625" style="72"/>
    <col min="13574" max="13579" width="3.7109375" style="72" customWidth="1"/>
    <col min="13580" max="13581" width="3.5703125" style="72" customWidth="1"/>
    <col min="13582" max="13582" width="4.85546875" style="72" customWidth="1"/>
    <col min="13583" max="13583" width="3.7109375" style="72" customWidth="1"/>
    <col min="13584" max="13584" width="5.28515625" style="72" customWidth="1"/>
    <col min="13585" max="13585" width="0" style="72" hidden="1" customWidth="1"/>
    <col min="13586" max="13586" width="3.5703125" style="72" customWidth="1"/>
    <col min="13587" max="13587" width="3.42578125" style="72" customWidth="1"/>
    <col min="13588" max="13589" width="3.5703125" style="72" customWidth="1"/>
    <col min="13590" max="13824" width="9.140625" style="72"/>
    <col min="13825" max="13825" width="7.42578125" style="72" customWidth="1"/>
    <col min="13826" max="13826" width="9.42578125" style="72" customWidth="1"/>
    <col min="13827" max="13829" width="9.140625" style="72"/>
    <col min="13830" max="13835" width="3.7109375" style="72" customWidth="1"/>
    <col min="13836" max="13837" width="3.5703125" style="72" customWidth="1"/>
    <col min="13838" max="13838" width="4.85546875" style="72" customWidth="1"/>
    <col min="13839" max="13839" width="3.7109375" style="72" customWidth="1"/>
    <col min="13840" max="13840" width="5.28515625" style="72" customWidth="1"/>
    <col min="13841" max="13841" width="0" style="72" hidden="1" customWidth="1"/>
    <col min="13842" max="13842" width="3.5703125" style="72" customWidth="1"/>
    <col min="13843" max="13843" width="3.42578125" style="72" customWidth="1"/>
    <col min="13844" max="13845" width="3.5703125" style="72" customWidth="1"/>
    <col min="13846" max="14080" width="9.140625" style="72"/>
    <col min="14081" max="14081" width="7.42578125" style="72" customWidth="1"/>
    <col min="14082" max="14082" width="9.42578125" style="72" customWidth="1"/>
    <col min="14083" max="14085" width="9.140625" style="72"/>
    <col min="14086" max="14091" width="3.7109375" style="72" customWidth="1"/>
    <col min="14092" max="14093" width="3.5703125" style="72" customWidth="1"/>
    <col min="14094" max="14094" width="4.85546875" style="72" customWidth="1"/>
    <col min="14095" max="14095" width="3.7109375" style="72" customWidth="1"/>
    <col min="14096" max="14096" width="5.28515625" style="72" customWidth="1"/>
    <col min="14097" max="14097" width="0" style="72" hidden="1" customWidth="1"/>
    <col min="14098" max="14098" width="3.5703125" style="72" customWidth="1"/>
    <col min="14099" max="14099" width="3.42578125" style="72" customWidth="1"/>
    <col min="14100" max="14101" width="3.5703125" style="72" customWidth="1"/>
    <col min="14102" max="14336" width="9.140625" style="72"/>
    <col min="14337" max="14337" width="7.42578125" style="72" customWidth="1"/>
    <col min="14338" max="14338" width="9.42578125" style="72" customWidth="1"/>
    <col min="14339" max="14341" width="9.140625" style="72"/>
    <col min="14342" max="14347" width="3.7109375" style="72" customWidth="1"/>
    <col min="14348" max="14349" width="3.5703125" style="72" customWidth="1"/>
    <col min="14350" max="14350" width="4.85546875" style="72" customWidth="1"/>
    <col min="14351" max="14351" width="3.7109375" style="72" customWidth="1"/>
    <col min="14352" max="14352" width="5.28515625" style="72" customWidth="1"/>
    <col min="14353" max="14353" width="0" style="72" hidden="1" customWidth="1"/>
    <col min="14354" max="14354" width="3.5703125" style="72" customWidth="1"/>
    <col min="14355" max="14355" width="3.42578125" style="72" customWidth="1"/>
    <col min="14356" max="14357" width="3.5703125" style="72" customWidth="1"/>
    <col min="14358" max="14592" width="9.140625" style="72"/>
    <col min="14593" max="14593" width="7.42578125" style="72" customWidth="1"/>
    <col min="14594" max="14594" width="9.42578125" style="72" customWidth="1"/>
    <col min="14595" max="14597" width="9.140625" style="72"/>
    <col min="14598" max="14603" width="3.7109375" style="72" customWidth="1"/>
    <col min="14604" max="14605" width="3.5703125" style="72" customWidth="1"/>
    <col min="14606" max="14606" width="4.85546875" style="72" customWidth="1"/>
    <col min="14607" max="14607" width="3.7109375" style="72" customWidth="1"/>
    <col min="14608" max="14608" width="5.28515625" style="72" customWidth="1"/>
    <col min="14609" max="14609" width="0" style="72" hidden="1" customWidth="1"/>
    <col min="14610" max="14610" width="3.5703125" style="72" customWidth="1"/>
    <col min="14611" max="14611" width="3.42578125" style="72" customWidth="1"/>
    <col min="14612" max="14613" width="3.5703125" style="72" customWidth="1"/>
    <col min="14614" max="14848" width="9.140625" style="72"/>
    <col min="14849" max="14849" width="7.42578125" style="72" customWidth="1"/>
    <col min="14850" max="14850" width="9.42578125" style="72" customWidth="1"/>
    <col min="14851" max="14853" width="9.140625" style="72"/>
    <col min="14854" max="14859" width="3.7109375" style="72" customWidth="1"/>
    <col min="14860" max="14861" width="3.5703125" style="72" customWidth="1"/>
    <col min="14862" max="14862" width="4.85546875" style="72" customWidth="1"/>
    <col min="14863" max="14863" width="3.7109375" style="72" customWidth="1"/>
    <col min="14864" max="14864" width="5.28515625" style="72" customWidth="1"/>
    <col min="14865" max="14865" width="0" style="72" hidden="1" customWidth="1"/>
    <col min="14866" max="14866" width="3.5703125" style="72" customWidth="1"/>
    <col min="14867" max="14867" width="3.42578125" style="72" customWidth="1"/>
    <col min="14868" max="14869" width="3.5703125" style="72" customWidth="1"/>
    <col min="14870" max="15104" width="9.140625" style="72"/>
    <col min="15105" max="15105" width="7.42578125" style="72" customWidth="1"/>
    <col min="15106" max="15106" width="9.42578125" style="72" customWidth="1"/>
    <col min="15107" max="15109" width="9.140625" style="72"/>
    <col min="15110" max="15115" width="3.7109375" style="72" customWidth="1"/>
    <col min="15116" max="15117" width="3.5703125" style="72" customWidth="1"/>
    <col min="15118" max="15118" width="4.85546875" style="72" customWidth="1"/>
    <col min="15119" max="15119" width="3.7109375" style="72" customWidth="1"/>
    <col min="15120" max="15120" width="5.28515625" style="72" customWidth="1"/>
    <col min="15121" max="15121" width="0" style="72" hidden="1" customWidth="1"/>
    <col min="15122" max="15122" width="3.5703125" style="72" customWidth="1"/>
    <col min="15123" max="15123" width="3.42578125" style="72" customWidth="1"/>
    <col min="15124" max="15125" width="3.5703125" style="72" customWidth="1"/>
    <col min="15126" max="15360" width="9.140625" style="72"/>
    <col min="15361" max="15361" width="7.42578125" style="72" customWidth="1"/>
    <col min="15362" max="15362" width="9.42578125" style="72" customWidth="1"/>
    <col min="15363" max="15365" width="9.140625" style="72"/>
    <col min="15366" max="15371" width="3.7109375" style="72" customWidth="1"/>
    <col min="15372" max="15373" width="3.5703125" style="72" customWidth="1"/>
    <col min="15374" max="15374" width="4.85546875" style="72" customWidth="1"/>
    <col min="15375" max="15375" width="3.7109375" style="72" customWidth="1"/>
    <col min="15376" max="15376" width="5.28515625" style="72" customWidth="1"/>
    <col min="15377" max="15377" width="0" style="72" hidden="1" customWidth="1"/>
    <col min="15378" max="15378" width="3.5703125" style="72" customWidth="1"/>
    <col min="15379" max="15379" width="3.42578125" style="72" customWidth="1"/>
    <col min="15380" max="15381" width="3.5703125" style="72" customWidth="1"/>
    <col min="15382" max="15616" width="9.140625" style="72"/>
    <col min="15617" max="15617" width="7.42578125" style="72" customWidth="1"/>
    <col min="15618" max="15618" width="9.42578125" style="72" customWidth="1"/>
    <col min="15619" max="15621" width="9.140625" style="72"/>
    <col min="15622" max="15627" width="3.7109375" style="72" customWidth="1"/>
    <col min="15628" max="15629" width="3.5703125" style="72" customWidth="1"/>
    <col min="15630" max="15630" width="4.85546875" style="72" customWidth="1"/>
    <col min="15631" max="15631" width="3.7109375" style="72" customWidth="1"/>
    <col min="15632" max="15632" width="5.28515625" style="72" customWidth="1"/>
    <col min="15633" max="15633" width="0" style="72" hidden="1" customWidth="1"/>
    <col min="15634" max="15634" width="3.5703125" style="72" customWidth="1"/>
    <col min="15635" max="15635" width="3.42578125" style="72" customWidth="1"/>
    <col min="15636" max="15637" width="3.5703125" style="72" customWidth="1"/>
    <col min="15638" max="15872" width="9.140625" style="72"/>
    <col min="15873" max="15873" width="7.42578125" style="72" customWidth="1"/>
    <col min="15874" max="15874" width="9.42578125" style="72" customWidth="1"/>
    <col min="15875" max="15877" width="9.140625" style="72"/>
    <col min="15878" max="15883" width="3.7109375" style="72" customWidth="1"/>
    <col min="15884" max="15885" width="3.5703125" style="72" customWidth="1"/>
    <col min="15886" max="15886" width="4.85546875" style="72" customWidth="1"/>
    <col min="15887" max="15887" width="3.7109375" style="72" customWidth="1"/>
    <col min="15888" max="15888" width="5.28515625" style="72" customWidth="1"/>
    <col min="15889" max="15889" width="0" style="72" hidden="1" customWidth="1"/>
    <col min="15890" max="15890" width="3.5703125" style="72" customWidth="1"/>
    <col min="15891" max="15891" width="3.42578125" style="72" customWidth="1"/>
    <col min="15892" max="15893" width="3.5703125" style="72" customWidth="1"/>
    <col min="15894" max="16128" width="9.140625" style="72"/>
    <col min="16129" max="16129" width="7.42578125" style="72" customWidth="1"/>
    <col min="16130" max="16130" width="9.42578125" style="72" customWidth="1"/>
    <col min="16131" max="16133" width="9.140625" style="72"/>
    <col min="16134" max="16139" width="3.7109375" style="72" customWidth="1"/>
    <col min="16140" max="16141" width="3.5703125" style="72" customWidth="1"/>
    <col min="16142" max="16142" width="4.85546875" style="72" customWidth="1"/>
    <col min="16143" max="16143" width="3.7109375" style="72" customWidth="1"/>
    <col min="16144" max="16144" width="5.28515625" style="72" customWidth="1"/>
    <col min="16145" max="16145" width="0" style="72" hidden="1" customWidth="1"/>
    <col min="16146" max="16146" width="3.5703125" style="72" customWidth="1"/>
    <col min="16147" max="16147" width="3.42578125" style="72" customWidth="1"/>
    <col min="16148" max="16149" width="3.5703125" style="72" customWidth="1"/>
    <col min="16150" max="16384" width="9.140625" style="72"/>
  </cols>
  <sheetData>
    <row r="1" spans="1:21" ht="12.75" customHeight="1" x14ac:dyDescent="0.2"/>
    <row r="2" spans="1:21" ht="12.75" customHeight="1" x14ac:dyDescent="0.2">
      <c r="A2" s="172" t="s">
        <v>4</v>
      </c>
      <c r="B2" s="171" t="s">
        <v>5</v>
      </c>
      <c r="G2" s="173" t="s">
        <v>6</v>
      </c>
      <c r="H2" s="174"/>
      <c r="I2" s="405" t="str">
        <f>project_station</f>
        <v>STATION NAME</v>
      </c>
      <c r="J2" s="405"/>
      <c r="K2" s="405"/>
      <c r="L2" s="405"/>
      <c r="M2" s="405"/>
      <c r="N2" s="405"/>
      <c r="O2" s="405"/>
      <c r="P2" s="405"/>
      <c r="Q2" s="405"/>
      <c r="R2" s="405"/>
      <c r="S2" s="405"/>
      <c r="T2" s="405"/>
      <c r="U2" s="405"/>
    </row>
    <row r="3" spans="1:21" ht="12.75" customHeight="1" x14ac:dyDescent="0.2">
      <c r="A3" s="172"/>
      <c r="B3" s="171" t="s">
        <v>234</v>
      </c>
      <c r="G3" s="173"/>
      <c r="H3" s="174"/>
      <c r="I3" s="405" t="str">
        <f>project_title</f>
        <v>PROJECT DESCRIPTION</v>
      </c>
      <c r="J3" s="405"/>
      <c r="K3" s="405"/>
      <c r="L3" s="405"/>
      <c r="M3" s="405"/>
      <c r="N3" s="405"/>
      <c r="O3" s="405"/>
      <c r="P3" s="405"/>
      <c r="Q3" s="405"/>
      <c r="R3" s="405"/>
      <c r="S3" s="405"/>
      <c r="T3" s="405"/>
      <c r="U3" s="405"/>
    </row>
    <row r="4" spans="1:21" ht="12.75" customHeight="1" x14ac:dyDescent="0.2">
      <c r="B4" s="171" t="s">
        <v>10</v>
      </c>
      <c r="G4" s="173" t="s">
        <v>9</v>
      </c>
      <c r="H4" s="177"/>
      <c r="I4" s="406" t="str">
        <f>contact_name</f>
        <v>JOE ENGINEER</v>
      </c>
      <c r="J4" s="406"/>
      <c r="K4" s="406"/>
      <c r="L4" s="406"/>
      <c r="M4" s="406"/>
      <c r="N4" s="406"/>
      <c r="P4" s="178" t="s">
        <v>25</v>
      </c>
      <c r="S4" s="176"/>
      <c r="T4" s="176"/>
      <c r="U4" s="176"/>
    </row>
    <row r="5" spans="1:21" ht="12.75" customHeight="1" x14ac:dyDescent="0.2">
      <c r="B5" s="171" t="s">
        <v>11</v>
      </c>
      <c r="G5" s="173" t="s">
        <v>12</v>
      </c>
      <c r="I5" s="407" t="s">
        <v>235</v>
      </c>
      <c r="J5" s="407"/>
      <c r="K5" s="407"/>
      <c r="L5" s="407"/>
      <c r="M5" s="407"/>
      <c r="N5" s="407"/>
      <c r="O5" s="175"/>
      <c r="P5" s="179" t="s">
        <v>236</v>
      </c>
      <c r="R5" s="175"/>
      <c r="S5" s="176"/>
      <c r="T5" s="176"/>
      <c r="U5" s="176"/>
    </row>
    <row r="6" spans="1:21" ht="12.75" customHeight="1" x14ac:dyDescent="0.2">
      <c r="B6" s="408" t="str">
        <f>"E-MAIL: "&amp; contact_email</f>
        <v>E-MAIL: joe@mail.com</v>
      </c>
      <c r="C6" s="408"/>
      <c r="D6" s="408"/>
      <c r="E6" s="408"/>
      <c r="P6" s="179" t="s">
        <v>152</v>
      </c>
      <c r="S6" s="176"/>
      <c r="T6" s="176"/>
      <c r="U6" s="176"/>
    </row>
    <row r="7" spans="1:21" ht="12.75" customHeight="1" x14ac:dyDescent="0.25">
      <c r="B7" s="180"/>
      <c r="H7" s="409" t="s">
        <v>237</v>
      </c>
      <c r="I7" s="410"/>
      <c r="J7" s="410"/>
      <c r="K7" s="410"/>
      <c r="L7" s="410"/>
      <c r="M7" s="410"/>
      <c r="N7" s="411"/>
      <c r="P7" s="179" t="s">
        <v>153</v>
      </c>
      <c r="R7" s="181"/>
      <c r="S7" s="181"/>
      <c r="T7" s="181"/>
      <c r="U7" s="181"/>
    </row>
    <row r="8" spans="1:21" ht="12.75" customHeight="1" x14ac:dyDescent="0.25">
      <c r="B8" s="180"/>
      <c r="H8" s="436"/>
      <c r="I8" s="436"/>
      <c r="J8" s="436"/>
      <c r="K8" s="436"/>
      <c r="L8" s="423" t="s">
        <v>240</v>
      </c>
      <c r="M8" s="424"/>
      <c r="N8" s="425"/>
      <c r="P8" s="179" t="s">
        <v>155</v>
      </c>
      <c r="R8" s="181"/>
      <c r="S8" s="181"/>
      <c r="T8" s="181"/>
      <c r="U8" s="181"/>
    </row>
    <row r="9" spans="1:21" ht="12.75" customHeight="1" x14ac:dyDescent="0.25">
      <c r="A9" s="182"/>
      <c r="B9" s="182"/>
      <c r="C9" s="182"/>
      <c r="D9" s="182"/>
      <c r="E9" s="182"/>
      <c r="F9" s="182"/>
      <c r="G9" s="182"/>
      <c r="H9" s="437"/>
      <c r="I9" s="437"/>
      <c r="J9" s="437"/>
      <c r="K9" s="437"/>
      <c r="L9" s="426"/>
      <c r="M9" s="427"/>
      <c r="N9" s="428"/>
      <c r="P9" s="179" t="s">
        <v>157</v>
      </c>
      <c r="R9" s="181"/>
      <c r="S9" s="181"/>
      <c r="T9" s="181"/>
      <c r="U9" s="181"/>
    </row>
    <row r="10" spans="1:21" ht="12.75" customHeight="1" x14ac:dyDescent="0.25">
      <c r="A10" s="183" t="s">
        <v>144</v>
      </c>
      <c r="B10" s="184"/>
      <c r="C10" s="184"/>
      <c r="D10" s="185" t="s">
        <v>241</v>
      </c>
      <c r="E10" s="438" t="s">
        <v>226</v>
      </c>
      <c r="F10" s="438"/>
      <c r="G10" s="439"/>
      <c r="H10" s="188"/>
      <c r="I10" s="188"/>
      <c r="J10" s="188"/>
      <c r="K10" s="189"/>
      <c r="L10" s="190" t="s">
        <v>242</v>
      </c>
      <c r="M10" s="191"/>
      <c r="N10" s="192"/>
      <c r="P10" s="178" t="s">
        <v>243</v>
      </c>
      <c r="R10" s="181"/>
      <c r="S10" s="181"/>
      <c r="T10" s="181"/>
      <c r="U10" s="181"/>
    </row>
    <row r="11" spans="1:21" ht="12.75" customHeight="1" x14ac:dyDescent="0.25">
      <c r="A11" s="193"/>
      <c r="B11" s="193"/>
      <c r="C11" s="193"/>
      <c r="D11" s="193"/>
      <c r="E11" s="193"/>
      <c r="F11" s="193"/>
      <c r="G11" s="193"/>
      <c r="H11" s="194"/>
      <c r="I11" s="194"/>
      <c r="J11" s="194"/>
      <c r="K11" s="195"/>
      <c r="L11" s="420" t="s">
        <v>13</v>
      </c>
      <c r="M11" s="421"/>
      <c r="N11" s="422"/>
      <c r="P11" s="179" t="s">
        <v>27</v>
      </c>
      <c r="R11" s="181"/>
      <c r="S11" s="181"/>
      <c r="T11" s="181"/>
      <c r="U11" s="181"/>
    </row>
    <row r="12" spans="1:21" ht="12.75" customHeight="1" x14ac:dyDescent="0.25">
      <c r="A12" s="193" t="s">
        <v>146</v>
      </c>
      <c r="B12" s="193"/>
      <c r="C12" s="193"/>
      <c r="D12" s="193"/>
      <c r="E12" s="193"/>
      <c r="F12" s="193"/>
      <c r="G12" s="193"/>
      <c r="H12" s="194"/>
      <c r="I12" s="194"/>
      <c r="J12" s="194"/>
      <c r="K12" s="195"/>
      <c r="L12" s="423"/>
      <c r="M12" s="424"/>
      <c r="N12" s="425"/>
      <c r="P12" s="179" t="s">
        <v>151</v>
      </c>
      <c r="R12" s="181"/>
      <c r="S12" s="181"/>
      <c r="T12" s="181"/>
      <c r="U12" s="181"/>
    </row>
    <row r="13" spans="1:21" ht="12.75" customHeight="1" x14ac:dyDescent="0.25">
      <c r="A13" s="193"/>
      <c r="B13" s="193"/>
      <c r="C13" s="193"/>
      <c r="D13" s="193"/>
      <c r="E13" s="193"/>
      <c r="F13" s="193"/>
      <c r="G13" s="193"/>
      <c r="H13" s="194"/>
      <c r="I13" s="194"/>
      <c r="J13" s="194"/>
      <c r="K13" s="195"/>
      <c r="L13" s="423"/>
      <c r="M13" s="424"/>
      <c r="N13" s="425"/>
      <c r="P13" s="179" t="s">
        <v>34</v>
      </c>
      <c r="R13" s="181"/>
      <c r="S13" s="181"/>
      <c r="T13" s="181"/>
      <c r="U13" s="181"/>
    </row>
    <row r="14" spans="1:21" ht="12.75" customHeight="1" x14ac:dyDescent="0.25">
      <c r="A14" s="193"/>
      <c r="B14" s="193"/>
      <c r="C14" s="193"/>
      <c r="D14" s="193"/>
      <c r="E14" s="193"/>
      <c r="F14" s="193"/>
      <c r="G14" s="193"/>
      <c r="H14" s="194"/>
      <c r="I14" s="194"/>
      <c r="J14" s="194"/>
      <c r="K14" s="195"/>
      <c r="L14" s="426"/>
      <c r="M14" s="427"/>
      <c r="N14" s="428"/>
      <c r="P14" s="196" t="s">
        <v>37</v>
      </c>
      <c r="R14" s="181"/>
      <c r="S14" s="181"/>
      <c r="T14" s="181"/>
      <c r="U14" s="181"/>
    </row>
    <row r="15" spans="1:21" ht="12.75" customHeight="1" x14ac:dyDescent="0.25">
      <c r="A15" s="197"/>
      <c r="B15" s="197"/>
      <c r="C15" s="197"/>
      <c r="D15" s="197"/>
      <c r="E15" s="197"/>
      <c r="F15" s="197"/>
      <c r="G15" s="197"/>
      <c r="H15" s="197"/>
      <c r="I15" s="197"/>
      <c r="J15" s="197"/>
      <c r="K15" s="197"/>
      <c r="L15" s="197"/>
      <c r="M15" s="197"/>
      <c r="N15" s="197"/>
      <c r="O15" s="197"/>
      <c r="P15" s="179" t="s">
        <v>245</v>
      </c>
      <c r="R15" s="181"/>
      <c r="T15" s="198"/>
      <c r="U15" s="198"/>
    </row>
    <row r="16" spans="1:21" ht="12.75" customHeight="1" x14ac:dyDescent="0.25">
      <c r="A16" s="199" t="s">
        <v>23</v>
      </c>
      <c r="B16" s="200"/>
      <c r="C16" s="200"/>
      <c r="D16" s="200"/>
      <c r="E16" s="200"/>
      <c r="F16" s="200"/>
      <c r="G16" s="200"/>
      <c r="H16" s="200"/>
      <c r="I16" s="200"/>
      <c r="J16" s="201"/>
      <c r="K16" s="201"/>
      <c r="L16" s="201"/>
      <c r="M16" s="201"/>
      <c r="N16" s="201"/>
      <c r="O16" s="198"/>
      <c r="P16" s="179" t="s">
        <v>246</v>
      </c>
      <c r="R16" s="181"/>
      <c r="S16" s="181"/>
      <c r="T16" s="197"/>
      <c r="U16" s="197"/>
    </row>
    <row r="17" spans="1:22" ht="14.25" customHeight="1" x14ac:dyDescent="0.25">
      <c r="A17" s="429"/>
      <c r="B17" s="429"/>
      <c r="C17" s="429"/>
      <c r="D17" s="429"/>
      <c r="E17" s="429"/>
      <c r="F17" s="429"/>
      <c r="G17" s="429"/>
      <c r="H17" s="429"/>
      <c r="I17" s="429"/>
      <c r="J17" s="429"/>
      <c r="K17" s="429"/>
      <c r="L17" s="429"/>
      <c r="M17" s="429"/>
      <c r="N17" s="429"/>
      <c r="O17" s="429"/>
      <c r="P17" s="196" t="s">
        <v>31</v>
      </c>
      <c r="R17" s="181"/>
      <c r="S17" s="181"/>
      <c r="T17" s="202"/>
      <c r="U17" s="202"/>
    </row>
    <row r="18" spans="1:22" ht="14.25" customHeight="1" x14ac:dyDescent="0.25">
      <c r="A18" s="429"/>
      <c r="B18" s="429"/>
      <c r="C18" s="429"/>
      <c r="D18" s="429"/>
      <c r="E18" s="429"/>
      <c r="F18" s="429"/>
      <c r="G18" s="429"/>
      <c r="H18" s="429"/>
      <c r="I18" s="429"/>
      <c r="J18" s="429"/>
      <c r="K18" s="429"/>
      <c r="L18" s="429"/>
      <c r="M18" s="429"/>
      <c r="N18" s="429"/>
      <c r="O18" s="429"/>
      <c r="P18" s="196" t="s">
        <v>248</v>
      </c>
      <c r="R18" s="181"/>
      <c r="S18" s="181"/>
      <c r="T18" s="202"/>
      <c r="U18" s="202"/>
    </row>
    <row r="19" spans="1:22" ht="14.25" customHeight="1" x14ac:dyDescent="0.25">
      <c r="A19" s="429"/>
      <c r="B19" s="429"/>
      <c r="C19" s="429"/>
      <c r="D19" s="429"/>
      <c r="E19" s="429"/>
      <c r="F19" s="429"/>
      <c r="G19" s="429"/>
      <c r="H19" s="429"/>
      <c r="I19" s="429"/>
      <c r="J19" s="429"/>
      <c r="K19" s="429"/>
      <c r="L19" s="429"/>
      <c r="M19" s="429"/>
      <c r="N19" s="429"/>
      <c r="O19" s="429"/>
      <c r="P19" s="196" t="s">
        <v>40</v>
      </c>
      <c r="R19" s="181"/>
      <c r="S19" s="181"/>
      <c r="T19" s="202"/>
      <c r="U19" s="202"/>
    </row>
    <row r="20" spans="1:22" ht="11.25" customHeight="1" x14ac:dyDescent="0.25">
      <c r="A20" s="202"/>
      <c r="B20" s="430"/>
      <c r="C20" s="430"/>
      <c r="D20" s="430"/>
      <c r="E20" s="430"/>
      <c r="F20" s="202"/>
      <c r="G20" s="202"/>
      <c r="H20" s="202"/>
      <c r="I20" s="202"/>
      <c r="J20" s="202"/>
      <c r="K20" s="202"/>
      <c r="L20" s="202"/>
      <c r="M20" s="202"/>
      <c r="N20" s="202"/>
      <c r="O20" s="202"/>
      <c r="P20" s="203" t="s">
        <v>158</v>
      </c>
      <c r="R20" s="181"/>
      <c r="S20" s="181"/>
      <c r="T20" s="202"/>
      <c r="U20" s="202"/>
    </row>
    <row r="21" spans="1:22" ht="12.75" customHeight="1" x14ac:dyDescent="0.25">
      <c r="A21" s="431"/>
      <c r="B21" s="431"/>
      <c r="C21" s="431"/>
      <c r="D21" s="431"/>
      <c r="E21" s="431"/>
      <c r="F21" s="431"/>
      <c r="G21" s="431"/>
      <c r="H21" s="431"/>
      <c r="I21" s="431"/>
      <c r="J21" s="431"/>
      <c r="K21" s="431"/>
      <c r="L21" s="431"/>
      <c r="M21" s="431"/>
      <c r="N21" s="431"/>
      <c r="O21" s="431"/>
      <c r="P21" s="431"/>
      <c r="Q21" s="431"/>
      <c r="R21" s="431"/>
      <c r="S21" s="431"/>
      <c r="T21" s="431"/>
      <c r="U21" s="431"/>
    </row>
    <row r="22" spans="1:22" ht="12.75" customHeight="1" x14ac:dyDescent="0.2">
      <c r="A22" s="432" t="s">
        <v>44</v>
      </c>
      <c r="B22" s="433" t="s">
        <v>45</v>
      </c>
      <c r="C22" s="433"/>
      <c r="D22" s="433"/>
      <c r="E22" s="433"/>
      <c r="F22" s="433"/>
      <c r="G22" s="433"/>
      <c r="H22" s="433"/>
      <c r="I22" s="433"/>
      <c r="J22" s="433"/>
      <c r="K22" s="433"/>
      <c r="L22" s="433"/>
      <c r="M22" s="433"/>
      <c r="N22" s="433"/>
      <c r="O22" s="432" t="s">
        <v>46</v>
      </c>
      <c r="P22" s="432"/>
      <c r="Q22" s="432"/>
      <c r="R22" s="432"/>
      <c r="S22" s="432"/>
      <c r="T22" s="434" t="s">
        <v>159</v>
      </c>
      <c r="U22" s="434"/>
    </row>
    <row r="23" spans="1:22" x14ac:dyDescent="0.2">
      <c r="A23" s="432"/>
      <c r="B23" s="432"/>
      <c r="C23" s="433"/>
      <c r="D23" s="433"/>
      <c r="E23" s="433"/>
      <c r="F23" s="433"/>
      <c r="G23" s="433"/>
      <c r="H23" s="433"/>
      <c r="I23" s="433"/>
      <c r="J23" s="433"/>
      <c r="K23" s="433"/>
      <c r="L23" s="433"/>
      <c r="M23" s="433"/>
      <c r="N23" s="433"/>
      <c r="O23" s="432"/>
      <c r="P23" s="432"/>
      <c r="Q23" s="432"/>
      <c r="R23" s="432"/>
      <c r="S23" s="432"/>
      <c r="T23" s="435" t="s">
        <v>160</v>
      </c>
      <c r="U23" s="435"/>
    </row>
    <row r="24" spans="1:22" x14ac:dyDescent="0.2">
      <c r="A24" s="204">
        <v>1</v>
      </c>
      <c r="B24" s="412"/>
      <c r="C24" s="413"/>
      <c r="D24" s="413"/>
      <c r="E24" s="413"/>
      <c r="F24" s="413"/>
      <c r="G24" s="413"/>
      <c r="H24" s="413"/>
      <c r="I24" s="413"/>
      <c r="J24" s="413"/>
      <c r="K24" s="413"/>
      <c r="L24" s="413"/>
      <c r="M24" s="413"/>
      <c r="N24" s="414"/>
      <c r="O24" s="415"/>
      <c r="P24" s="416"/>
      <c r="Q24" s="416"/>
      <c r="R24" s="416"/>
      <c r="S24" s="417"/>
      <c r="T24" s="418"/>
      <c r="U24" s="419"/>
    </row>
    <row r="25" spans="1:22" x14ac:dyDescent="0.2">
      <c r="A25" s="204">
        <f t="shared" ref="A25:A88" si="0">A24+1</f>
        <v>2</v>
      </c>
      <c r="B25" s="412"/>
      <c r="C25" s="413"/>
      <c r="D25" s="413"/>
      <c r="E25" s="413"/>
      <c r="F25" s="413"/>
      <c r="G25" s="413"/>
      <c r="H25" s="413"/>
      <c r="I25" s="413"/>
      <c r="J25" s="413"/>
      <c r="K25" s="413"/>
      <c r="L25" s="413"/>
      <c r="M25" s="413"/>
      <c r="N25" s="414"/>
      <c r="O25" s="415"/>
      <c r="P25" s="416"/>
      <c r="Q25" s="416"/>
      <c r="R25" s="416"/>
      <c r="S25" s="417"/>
      <c r="T25" s="418"/>
      <c r="U25" s="419"/>
    </row>
    <row r="26" spans="1:22" s="101" customFormat="1" x14ac:dyDescent="0.2">
      <c r="A26" s="204">
        <f t="shared" si="0"/>
        <v>3</v>
      </c>
      <c r="B26" s="412"/>
      <c r="C26" s="413"/>
      <c r="D26" s="413"/>
      <c r="E26" s="413"/>
      <c r="F26" s="413"/>
      <c r="G26" s="413"/>
      <c r="H26" s="413"/>
      <c r="I26" s="413"/>
      <c r="J26" s="413"/>
      <c r="K26" s="413"/>
      <c r="L26" s="413"/>
      <c r="M26" s="413"/>
      <c r="N26" s="414"/>
      <c r="O26" s="415"/>
      <c r="P26" s="416"/>
      <c r="Q26" s="416"/>
      <c r="R26" s="416"/>
      <c r="S26" s="417"/>
      <c r="T26" s="418"/>
      <c r="U26" s="419"/>
      <c r="V26" s="72"/>
    </row>
    <row r="27" spans="1:22" x14ac:dyDescent="0.2">
      <c r="A27" s="204">
        <f t="shared" si="0"/>
        <v>4</v>
      </c>
      <c r="B27" s="412"/>
      <c r="C27" s="413"/>
      <c r="D27" s="413"/>
      <c r="E27" s="413"/>
      <c r="F27" s="413"/>
      <c r="G27" s="413"/>
      <c r="H27" s="413"/>
      <c r="I27" s="413"/>
      <c r="J27" s="413"/>
      <c r="K27" s="413"/>
      <c r="L27" s="413"/>
      <c r="M27" s="413"/>
      <c r="N27" s="414"/>
      <c r="O27" s="415"/>
      <c r="P27" s="416"/>
      <c r="Q27" s="416"/>
      <c r="R27" s="416"/>
      <c r="S27" s="417"/>
      <c r="T27" s="418"/>
      <c r="U27" s="419"/>
    </row>
    <row r="28" spans="1:22" x14ac:dyDescent="0.2">
      <c r="A28" s="204">
        <f t="shared" si="0"/>
        <v>5</v>
      </c>
      <c r="B28" s="412"/>
      <c r="C28" s="413"/>
      <c r="D28" s="413"/>
      <c r="E28" s="413"/>
      <c r="F28" s="413"/>
      <c r="G28" s="413"/>
      <c r="H28" s="413"/>
      <c r="I28" s="413"/>
      <c r="J28" s="413"/>
      <c r="K28" s="413"/>
      <c r="L28" s="413"/>
      <c r="M28" s="413"/>
      <c r="N28" s="414"/>
      <c r="O28" s="415"/>
      <c r="P28" s="416"/>
      <c r="Q28" s="416"/>
      <c r="R28" s="416"/>
      <c r="S28" s="417"/>
      <c r="T28" s="418"/>
      <c r="U28" s="419"/>
    </row>
    <row r="29" spans="1:22" x14ac:dyDescent="0.2">
      <c r="A29" s="204">
        <f t="shared" si="0"/>
        <v>6</v>
      </c>
      <c r="B29" s="412"/>
      <c r="C29" s="413"/>
      <c r="D29" s="413"/>
      <c r="E29" s="413"/>
      <c r="F29" s="413"/>
      <c r="G29" s="413"/>
      <c r="H29" s="413"/>
      <c r="I29" s="413"/>
      <c r="J29" s="413"/>
      <c r="K29" s="413"/>
      <c r="L29" s="413"/>
      <c r="M29" s="413"/>
      <c r="N29" s="414"/>
      <c r="O29" s="415"/>
      <c r="P29" s="416"/>
      <c r="Q29" s="416"/>
      <c r="R29" s="416"/>
      <c r="S29" s="417"/>
      <c r="T29" s="418"/>
      <c r="U29" s="419"/>
    </row>
    <row r="30" spans="1:22" x14ac:dyDescent="0.2">
      <c r="A30" s="204">
        <f t="shared" si="0"/>
        <v>7</v>
      </c>
      <c r="B30" s="412"/>
      <c r="C30" s="413"/>
      <c r="D30" s="413"/>
      <c r="E30" s="413"/>
      <c r="F30" s="413"/>
      <c r="G30" s="413"/>
      <c r="H30" s="413"/>
      <c r="I30" s="413"/>
      <c r="J30" s="413"/>
      <c r="K30" s="413"/>
      <c r="L30" s="413"/>
      <c r="M30" s="413"/>
      <c r="N30" s="414"/>
      <c r="O30" s="415"/>
      <c r="P30" s="416"/>
      <c r="Q30" s="416"/>
      <c r="R30" s="416"/>
      <c r="S30" s="417"/>
      <c r="T30" s="418"/>
      <c r="U30" s="419"/>
    </row>
    <row r="31" spans="1:22" x14ac:dyDescent="0.2">
      <c r="A31" s="204">
        <f t="shared" si="0"/>
        <v>8</v>
      </c>
      <c r="B31" s="412"/>
      <c r="C31" s="413"/>
      <c r="D31" s="413"/>
      <c r="E31" s="413"/>
      <c r="F31" s="413"/>
      <c r="G31" s="413"/>
      <c r="H31" s="413"/>
      <c r="I31" s="413"/>
      <c r="J31" s="413"/>
      <c r="K31" s="413"/>
      <c r="L31" s="413"/>
      <c r="M31" s="413"/>
      <c r="N31" s="414"/>
      <c r="O31" s="415"/>
      <c r="P31" s="416"/>
      <c r="Q31" s="416"/>
      <c r="R31" s="416"/>
      <c r="S31" s="417"/>
      <c r="T31" s="418"/>
      <c r="U31" s="419"/>
    </row>
    <row r="32" spans="1:22" x14ac:dyDescent="0.2">
      <c r="A32" s="204">
        <f t="shared" si="0"/>
        <v>9</v>
      </c>
      <c r="B32" s="412"/>
      <c r="C32" s="413"/>
      <c r="D32" s="413"/>
      <c r="E32" s="413"/>
      <c r="F32" s="413"/>
      <c r="G32" s="413"/>
      <c r="H32" s="413"/>
      <c r="I32" s="413"/>
      <c r="J32" s="413"/>
      <c r="K32" s="413"/>
      <c r="L32" s="413"/>
      <c r="M32" s="413"/>
      <c r="N32" s="414"/>
      <c r="O32" s="415"/>
      <c r="P32" s="416"/>
      <c r="Q32" s="416"/>
      <c r="R32" s="416"/>
      <c r="S32" s="417"/>
      <c r="T32" s="418"/>
      <c r="U32" s="419"/>
    </row>
    <row r="33" spans="1:21" x14ac:dyDescent="0.2">
      <c r="A33" s="204">
        <f t="shared" si="0"/>
        <v>10</v>
      </c>
      <c r="B33" s="412"/>
      <c r="C33" s="413"/>
      <c r="D33" s="413"/>
      <c r="E33" s="413"/>
      <c r="F33" s="413"/>
      <c r="G33" s="413"/>
      <c r="H33" s="413"/>
      <c r="I33" s="413"/>
      <c r="J33" s="413"/>
      <c r="K33" s="413"/>
      <c r="L33" s="413"/>
      <c r="M33" s="413"/>
      <c r="N33" s="414"/>
      <c r="O33" s="415"/>
      <c r="P33" s="416"/>
      <c r="Q33" s="416"/>
      <c r="R33" s="416"/>
      <c r="S33" s="417"/>
      <c r="T33" s="418"/>
      <c r="U33" s="419"/>
    </row>
    <row r="34" spans="1:21" x14ac:dyDescent="0.2">
      <c r="A34" s="204">
        <f t="shared" si="0"/>
        <v>11</v>
      </c>
      <c r="B34" s="412"/>
      <c r="C34" s="413"/>
      <c r="D34" s="413"/>
      <c r="E34" s="413"/>
      <c r="F34" s="413"/>
      <c r="G34" s="413"/>
      <c r="H34" s="413"/>
      <c r="I34" s="413"/>
      <c r="J34" s="413"/>
      <c r="K34" s="413"/>
      <c r="L34" s="413"/>
      <c r="M34" s="413"/>
      <c r="N34" s="414"/>
      <c r="O34" s="415"/>
      <c r="P34" s="416"/>
      <c r="Q34" s="416"/>
      <c r="R34" s="416"/>
      <c r="S34" s="417"/>
      <c r="T34" s="418"/>
      <c r="U34" s="419"/>
    </row>
    <row r="35" spans="1:21" x14ac:dyDescent="0.2">
      <c r="A35" s="204">
        <f t="shared" si="0"/>
        <v>12</v>
      </c>
      <c r="B35" s="412"/>
      <c r="C35" s="413"/>
      <c r="D35" s="413"/>
      <c r="E35" s="413"/>
      <c r="F35" s="413"/>
      <c r="G35" s="413"/>
      <c r="H35" s="413"/>
      <c r="I35" s="413"/>
      <c r="J35" s="413"/>
      <c r="K35" s="413"/>
      <c r="L35" s="413"/>
      <c r="M35" s="413"/>
      <c r="N35" s="414"/>
      <c r="O35" s="415"/>
      <c r="P35" s="416"/>
      <c r="Q35" s="416"/>
      <c r="R35" s="416"/>
      <c r="S35" s="417"/>
      <c r="T35" s="418"/>
      <c r="U35" s="419"/>
    </row>
    <row r="36" spans="1:21" x14ac:dyDescent="0.2">
      <c r="A36" s="204">
        <f t="shared" si="0"/>
        <v>13</v>
      </c>
      <c r="B36" s="412"/>
      <c r="C36" s="413"/>
      <c r="D36" s="413"/>
      <c r="E36" s="413"/>
      <c r="F36" s="413"/>
      <c r="G36" s="413"/>
      <c r="H36" s="413"/>
      <c r="I36" s="413"/>
      <c r="J36" s="413"/>
      <c r="K36" s="413"/>
      <c r="L36" s="413"/>
      <c r="M36" s="413"/>
      <c r="N36" s="414"/>
      <c r="O36" s="415"/>
      <c r="P36" s="416"/>
      <c r="Q36" s="416"/>
      <c r="R36" s="416"/>
      <c r="S36" s="417"/>
      <c r="T36" s="418"/>
      <c r="U36" s="419"/>
    </row>
    <row r="37" spans="1:21" x14ac:dyDescent="0.2">
      <c r="A37" s="204">
        <f t="shared" si="0"/>
        <v>14</v>
      </c>
      <c r="B37" s="412"/>
      <c r="C37" s="413"/>
      <c r="D37" s="413"/>
      <c r="E37" s="413"/>
      <c r="F37" s="413"/>
      <c r="G37" s="413"/>
      <c r="H37" s="413"/>
      <c r="I37" s="413"/>
      <c r="J37" s="413"/>
      <c r="K37" s="413"/>
      <c r="L37" s="413"/>
      <c r="M37" s="413"/>
      <c r="N37" s="414"/>
      <c r="O37" s="415"/>
      <c r="P37" s="416"/>
      <c r="Q37" s="416"/>
      <c r="R37" s="416"/>
      <c r="S37" s="417"/>
      <c r="T37" s="418"/>
      <c r="U37" s="419"/>
    </row>
    <row r="38" spans="1:21" x14ac:dyDescent="0.2">
      <c r="A38" s="204">
        <f t="shared" si="0"/>
        <v>15</v>
      </c>
      <c r="B38" s="412"/>
      <c r="C38" s="413"/>
      <c r="D38" s="413"/>
      <c r="E38" s="413"/>
      <c r="F38" s="413"/>
      <c r="G38" s="413"/>
      <c r="H38" s="413"/>
      <c r="I38" s="413"/>
      <c r="J38" s="413"/>
      <c r="K38" s="413"/>
      <c r="L38" s="413"/>
      <c r="M38" s="413"/>
      <c r="N38" s="414"/>
      <c r="O38" s="415"/>
      <c r="P38" s="416"/>
      <c r="Q38" s="416"/>
      <c r="R38" s="416"/>
      <c r="S38" s="417"/>
      <c r="T38" s="418"/>
      <c r="U38" s="419"/>
    </row>
    <row r="39" spans="1:21" x14ac:dyDescent="0.2">
      <c r="A39" s="204">
        <f t="shared" si="0"/>
        <v>16</v>
      </c>
      <c r="B39" s="412"/>
      <c r="C39" s="413"/>
      <c r="D39" s="413"/>
      <c r="E39" s="413"/>
      <c r="F39" s="413"/>
      <c r="G39" s="413"/>
      <c r="H39" s="413"/>
      <c r="I39" s="413"/>
      <c r="J39" s="413"/>
      <c r="K39" s="413"/>
      <c r="L39" s="413"/>
      <c r="M39" s="413"/>
      <c r="N39" s="414"/>
      <c r="O39" s="415"/>
      <c r="P39" s="416"/>
      <c r="Q39" s="416"/>
      <c r="R39" s="416"/>
      <c r="S39" s="417"/>
      <c r="T39" s="418"/>
      <c r="U39" s="419"/>
    </row>
    <row r="40" spans="1:21" x14ac:dyDescent="0.2">
      <c r="A40" s="204">
        <f t="shared" si="0"/>
        <v>17</v>
      </c>
      <c r="B40" s="412"/>
      <c r="C40" s="413"/>
      <c r="D40" s="413"/>
      <c r="E40" s="413"/>
      <c r="F40" s="413"/>
      <c r="G40" s="413"/>
      <c r="H40" s="413"/>
      <c r="I40" s="413"/>
      <c r="J40" s="413"/>
      <c r="K40" s="413"/>
      <c r="L40" s="413"/>
      <c r="M40" s="413"/>
      <c r="N40" s="414"/>
      <c r="O40" s="415"/>
      <c r="P40" s="416"/>
      <c r="Q40" s="416"/>
      <c r="R40" s="416"/>
      <c r="S40" s="417"/>
      <c r="T40" s="418"/>
      <c r="U40" s="419"/>
    </row>
    <row r="41" spans="1:21" x14ac:dyDescent="0.2">
      <c r="A41" s="204">
        <f t="shared" si="0"/>
        <v>18</v>
      </c>
      <c r="B41" s="412"/>
      <c r="C41" s="413"/>
      <c r="D41" s="413"/>
      <c r="E41" s="413"/>
      <c r="F41" s="413"/>
      <c r="G41" s="413"/>
      <c r="H41" s="413"/>
      <c r="I41" s="413"/>
      <c r="J41" s="413"/>
      <c r="K41" s="413"/>
      <c r="L41" s="413"/>
      <c r="M41" s="413"/>
      <c r="N41" s="414"/>
      <c r="O41" s="415"/>
      <c r="P41" s="416"/>
      <c r="Q41" s="416"/>
      <c r="R41" s="416"/>
      <c r="S41" s="417"/>
      <c r="T41" s="418"/>
      <c r="U41" s="419"/>
    </row>
    <row r="42" spans="1:21" x14ac:dyDescent="0.2">
      <c r="A42" s="204">
        <f t="shared" si="0"/>
        <v>19</v>
      </c>
      <c r="B42" s="412"/>
      <c r="C42" s="413"/>
      <c r="D42" s="413"/>
      <c r="E42" s="413"/>
      <c r="F42" s="413"/>
      <c r="G42" s="413"/>
      <c r="H42" s="413"/>
      <c r="I42" s="413"/>
      <c r="J42" s="413"/>
      <c r="K42" s="413"/>
      <c r="L42" s="413"/>
      <c r="M42" s="413"/>
      <c r="N42" s="414"/>
      <c r="O42" s="415"/>
      <c r="P42" s="416"/>
      <c r="Q42" s="416"/>
      <c r="R42" s="416"/>
      <c r="S42" s="417"/>
      <c r="T42" s="418"/>
      <c r="U42" s="419"/>
    </row>
    <row r="43" spans="1:21" x14ac:dyDescent="0.2">
      <c r="A43" s="204">
        <f t="shared" si="0"/>
        <v>20</v>
      </c>
      <c r="B43" s="440"/>
      <c r="C43" s="441"/>
      <c r="D43" s="441"/>
      <c r="E43" s="441"/>
      <c r="F43" s="441"/>
      <c r="G43" s="441"/>
      <c r="H43" s="441"/>
      <c r="I43" s="441"/>
      <c r="J43" s="441"/>
      <c r="K43" s="441"/>
      <c r="L43" s="441"/>
      <c r="M43" s="441"/>
      <c r="N43" s="442"/>
      <c r="O43" s="415"/>
      <c r="P43" s="416"/>
      <c r="Q43" s="416"/>
      <c r="R43" s="416"/>
      <c r="S43" s="417"/>
      <c r="T43" s="418"/>
      <c r="U43" s="419"/>
    </row>
    <row r="44" spans="1:21" x14ac:dyDescent="0.2">
      <c r="A44" s="204">
        <f t="shared" si="0"/>
        <v>21</v>
      </c>
      <c r="B44" s="440"/>
      <c r="C44" s="441"/>
      <c r="D44" s="441"/>
      <c r="E44" s="441"/>
      <c r="F44" s="441"/>
      <c r="G44" s="441"/>
      <c r="H44" s="441"/>
      <c r="I44" s="441"/>
      <c r="J44" s="441"/>
      <c r="K44" s="441"/>
      <c r="L44" s="441"/>
      <c r="M44" s="441"/>
      <c r="N44" s="442"/>
      <c r="O44" s="415"/>
      <c r="P44" s="416"/>
      <c r="Q44" s="416"/>
      <c r="R44" s="416"/>
      <c r="S44" s="417"/>
      <c r="T44" s="418"/>
      <c r="U44" s="419"/>
    </row>
    <row r="45" spans="1:21" x14ac:dyDescent="0.2">
      <c r="A45" s="204">
        <f t="shared" si="0"/>
        <v>22</v>
      </c>
      <c r="B45" s="440"/>
      <c r="C45" s="441"/>
      <c r="D45" s="441"/>
      <c r="E45" s="441"/>
      <c r="F45" s="441"/>
      <c r="G45" s="441"/>
      <c r="H45" s="441"/>
      <c r="I45" s="441"/>
      <c r="J45" s="441"/>
      <c r="K45" s="441"/>
      <c r="L45" s="441"/>
      <c r="M45" s="441"/>
      <c r="N45" s="442"/>
      <c r="O45" s="415"/>
      <c r="P45" s="416"/>
      <c r="Q45" s="416"/>
      <c r="R45" s="416"/>
      <c r="S45" s="417"/>
      <c r="T45" s="418"/>
      <c r="U45" s="419"/>
    </row>
    <row r="46" spans="1:21" x14ac:dyDescent="0.2">
      <c r="A46" s="204">
        <f t="shared" si="0"/>
        <v>23</v>
      </c>
      <c r="B46" s="440"/>
      <c r="C46" s="441"/>
      <c r="D46" s="441"/>
      <c r="E46" s="441"/>
      <c r="F46" s="441"/>
      <c r="G46" s="441"/>
      <c r="H46" s="441"/>
      <c r="I46" s="441"/>
      <c r="J46" s="441"/>
      <c r="K46" s="441"/>
      <c r="L46" s="441"/>
      <c r="M46" s="441"/>
      <c r="N46" s="442"/>
      <c r="O46" s="415"/>
      <c r="P46" s="416"/>
      <c r="Q46" s="416"/>
      <c r="R46" s="416"/>
      <c r="S46" s="417"/>
      <c r="T46" s="418"/>
      <c r="U46" s="419"/>
    </row>
    <row r="47" spans="1:21" x14ac:dyDescent="0.2">
      <c r="A47" s="204">
        <f t="shared" si="0"/>
        <v>24</v>
      </c>
      <c r="B47" s="440"/>
      <c r="C47" s="441"/>
      <c r="D47" s="441"/>
      <c r="E47" s="441"/>
      <c r="F47" s="441"/>
      <c r="G47" s="441"/>
      <c r="H47" s="441"/>
      <c r="I47" s="441"/>
      <c r="J47" s="441"/>
      <c r="K47" s="441"/>
      <c r="L47" s="441"/>
      <c r="M47" s="441"/>
      <c r="N47" s="442"/>
      <c r="O47" s="415"/>
      <c r="P47" s="416"/>
      <c r="Q47" s="416"/>
      <c r="R47" s="416"/>
      <c r="S47" s="417"/>
      <c r="T47" s="418"/>
      <c r="U47" s="419"/>
    </row>
    <row r="48" spans="1:21" x14ac:dyDescent="0.2">
      <c r="A48" s="204">
        <f t="shared" si="0"/>
        <v>25</v>
      </c>
      <c r="B48" s="440"/>
      <c r="C48" s="441"/>
      <c r="D48" s="441"/>
      <c r="E48" s="441"/>
      <c r="F48" s="441"/>
      <c r="G48" s="441"/>
      <c r="H48" s="441"/>
      <c r="I48" s="441"/>
      <c r="J48" s="441"/>
      <c r="K48" s="441"/>
      <c r="L48" s="441"/>
      <c r="M48" s="441"/>
      <c r="N48" s="442"/>
      <c r="O48" s="415"/>
      <c r="P48" s="416"/>
      <c r="Q48" s="416"/>
      <c r="R48" s="416"/>
      <c r="S48" s="417"/>
      <c r="T48" s="418"/>
      <c r="U48" s="419"/>
    </row>
    <row r="49" spans="1:21" x14ac:dyDescent="0.2">
      <c r="A49" s="204">
        <f t="shared" si="0"/>
        <v>26</v>
      </c>
      <c r="B49" s="440"/>
      <c r="C49" s="441"/>
      <c r="D49" s="441"/>
      <c r="E49" s="441"/>
      <c r="F49" s="441"/>
      <c r="G49" s="441"/>
      <c r="H49" s="441"/>
      <c r="I49" s="441"/>
      <c r="J49" s="441"/>
      <c r="K49" s="441"/>
      <c r="L49" s="441"/>
      <c r="M49" s="441"/>
      <c r="N49" s="442"/>
      <c r="O49" s="415"/>
      <c r="P49" s="416"/>
      <c r="Q49" s="416"/>
      <c r="R49" s="416"/>
      <c r="S49" s="417"/>
      <c r="T49" s="418"/>
      <c r="U49" s="419"/>
    </row>
    <row r="50" spans="1:21" x14ac:dyDescent="0.2">
      <c r="A50" s="204">
        <f t="shared" si="0"/>
        <v>27</v>
      </c>
      <c r="B50" s="440"/>
      <c r="C50" s="441"/>
      <c r="D50" s="441"/>
      <c r="E50" s="441"/>
      <c r="F50" s="441"/>
      <c r="G50" s="441"/>
      <c r="H50" s="441"/>
      <c r="I50" s="441"/>
      <c r="J50" s="441"/>
      <c r="K50" s="441"/>
      <c r="L50" s="441"/>
      <c r="M50" s="441"/>
      <c r="N50" s="442"/>
      <c r="O50" s="415"/>
      <c r="P50" s="416"/>
      <c r="Q50" s="416"/>
      <c r="R50" s="416"/>
      <c r="S50" s="417"/>
      <c r="T50" s="418"/>
      <c r="U50" s="419"/>
    </row>
    <row r="51" spans="1:21" x14ac:dyDescent="0.2">
      <c r="A51" s="204">
        <f t="shared" si="0"/>
        <v>28</v>
      </c>
      <c r="B51" s="440"/>
      <c r="C51" s="441"/>
      <c r="D51" s="441"/>
      <c r="E51" s="441"/>
      <c r="F51" s="441"/>
      <c r="G51" s="441"/>
      <c r="H51" s="441"/>
      <c r="I51" s="441"/>
      <c r="J51" s="441"/>
      <c r="K51" s="441"/>
      <c r="L51" s="441"/>
      <c r="M51" s="441"/>
      <c r="N51" s="442"/>
      <c r="O51" s="415"/>
      <c r="P51" s="416"/>
      <c r="Q51" s="416"/>
      <c r="R51" s="416"/>
      <c r="S51" s="417"/>
      <c r="T51" s="418"/>
      <c r="U51" s="419"/>
    </row>
    <row r="52" spans="1:21" x14ac:dyDescent="0.2">
      <c r="A52" s="204">
        <f t="shared" si="0"/>
        <v>29</v>
      </c>
      <c r="B52" s="440"/>
      <c r="C52" s="441"/>
      <c r="D52" s="441"/>
      <c r="E52" s="441"/>
      <c r="F52" s="441"/>
      <c r="G52" s="441"/>
      <c r="H52" s="441"/>
      <c r="I52" s="441"/>
      <c r="J52" s="441"/>
      <c r="K52" s="441"/>
      <c r="L52" s="441"/>
      <c r="M52" s="441"/>
      <c r="N52" s="442"/>
      <c r="O52" s="415"/>
      <c r="P52" s="416"/>
      <c r="Q52" s="416"/>
      <c r="R52" s="416"/>
      <c r="S52" s="417"/>
      <c r="T52" s="418"/>
      <c r="U52" s="419"/>
    </row>
    <row r="53" spans="1:21" x14ac:dyDescent="0.2">
      <c r="A53" s="204">
        <f t="shared" si="0"/>
        <v>30</v>
      </c>
      <c r="B53" s="440"/>
      <c r="C53" s="441"/>
      <c r="D53" s="441"/>
      <c r="E53" s="441"/>
      <c r="F53" s="441"/>
      <c r="G53" s="441"/>
      <c r="H53" s="441"/>
      <c r="I53" s="441"/>
      <c r="J53" s="441"/>
      <c r="K53" s="441"/>
      <c r="L53" s="441"/>
      <c r="M53" s="441"/>
      <c r="N53" s="442"/>
      <c r="O53" s="415"/>
      <c r="P53" s="416"/>
      <c r="Q53" s="416"/>
      <c r="R53" s="416"/>
      <c r="S53" s="417"/>
      <c r="T53" s="418"/>
      <c r="U53" s="419"/>
    </row>
    <row r="54" spans="1:21" x14ac:dyDescent="0.2">
      <c r="A54" s="204">
        <f t="shared" si="0"/>
        <v>31</v>
      </c>
      <c r="B54" s="440"/>
      <c r="C54" s="441"/>
      <c r="D54" s="441"/>
      <c r="E54" s="441"/>
      <c r="F54" s="441"/>
      <c r="G54" s="441"/>
      <c r="H54" s="441"/>
      <c r="I54" s="441"/>
      <c r="J54" s="441"/>
      <c r="K54" s="441"/>
      <c r="L54" s="441"/>
      <c r="M54" s="441"/>
      <c r="N54" s="442"/>
      <c r="O54" s="415"/>
      <c r="P54" s="416"/>
      <c r="Q54" s="416"/>
      <c r="R54" s="416"/>
      <c r="S54" s="417"/>
      <c r="T54" s="418"/>
      <c r="U54" s="419"/>
    </row>
    <row r="55" spans="1:21" x14ac:dyDescent="0.2">
      <c r="A55" s="204">
        <f t="shared" si="0"/>
        <v>32</v>
      </c>
      <c r="B55" s="440"/>
      <c r="C55" s="441"/>
      <c r="D55" s="441"/>
      <c r="E55" s="441"/>
      <c r="F55" s="441"/>
      <c r="G55" s="441"/>
      <c r="H55" s="441"/>
      <c r="I55" s="441"/>
      <c r="J55" s="441"/>
      <c r="K55" s="441"/>
      <c r="L55" s="441"/>
      <c r="M55" s="441"/>
      <c r="N55" s="442"/>
      <c r="O55" s="415"/>
      <c r="P55" s="416"/>
      <c r="Q55" s="416"/>
      <c r="R55" s="416"/>
      <c r="S55" s="417"/>
      <c r="T55" s="418"/>
      <c r="U55" s="419"/>
    </row>
    <row r="56" spans="1:21" x14ac:dyDescent="0.2">
      <c r="A56" s="204">
        <f t="shared" si="0"/>
        <v>33</v>
      </c>
      <c r="B56" s="440"/>
      <c r="C56" s="441"/>
      <c r="D56" s="441"/>
      <c r="E56" s="441"/>
      <c r="F56" s="441"/>
      <c r="G56" s="441"/>
      <c r="H56" s="441"/>
      <c r="I56" s="441"/>
      <c r="J56" s="441"/>
      <c r="K56" s="441"/>
      <c r="L56" s="441"/>
      <c r="M56" s="441"/>
      <c r="N56" s="442"/>
      <c r="O56" s="415"/>
      <c r="P56" s="416"/>
      <c r="Q56" s="416"/>
      <c r="R56" s="416"/>
      <c r="S56" s="417"/>
      <c r="T56" s="418"/>
      <c r="U56" s="419"/>
    </row>
    <row r="57" spans="1:21" x14ac:dyDescent="0.2">
      <c r="A57" s="204">
        <f t="shared" si="0"/>
        <v>34</v>
      </c>
      <c r="B57" s="440"/>
      <c r="C57" s="441"/>
      <c r="D57" s="441"/>
      <c r="E57" s="441"/>
      <c r="F57" s="441"/>
      <c r="G57" s="441"/>
      <c r="H57" s="441"/>
      <c r="I57" s="441"/>
      <c r="J57" s="441"/>
      <c r="K57" s="441"/>
      <c r="L57" s="441"/>
      <c r="M57" s="441"/>
      <c r="N57" s="442"/>
      <c r="O57" s="415"/>
      <c r="P57" s="416"/>
      <c r="Q57" s="416"/>
      <c r="R57" s="416"/>
      <c r="S57" s="417"/>
      <c r="T57" s="418"/>
      <c r="U57" s="419"/>
    </row>
    <row r="58" spans="1:21" x14ac:dyDescent="0.2">
      <c r="A58" s="204">
        <f t="shared" si="0"/>
        <v>35</v>
      </c>
      <c r="B58" s="440"/>
      <c r="C58" s="441"/>
      <c r="D58" s="441"/>
      <c r="E58" s="441"/>
      <c r="F58" s="441"/>
      <c r="G58" s="441"/>
      <c r="H58" s="441"/>
      <c r="I58" s="441"/>
      <c r="J58" s="441"/>
      <c r="K58" s="441"/>
      <c r="L58" s="441"/>
      <c r="M58" s="441"/>
      <c r="N58" s="442"/>
      <c r="O58" s="415"/>
      <c r="P58" s="416"/>
      <c r="Q58" s="416"/>
      <c r="R58" s="416"/>
      <c r="S58" s="417"/>
      <c r="T58" s="418"/>
      <c r="U58" s="419"/>
    </row>
    <row r="59" spans="1:21" x14ac:dyDescent="0.2">
      <c r="A59" s="204">
        <f t="shared" si="0"/>
        <v>36</v>
      </c>
      <c r="B59" s="440"/>
      <c r="C59" s="441"/>
      <c r="D59" s="441"/>
      <c r="E59" s="441"/>
      <c r="F59" s="441"/>
      <c r="G59" s="441"/>
      <c r="H59" s="441"/>
      <c r="I59" s="441"/>
      <c r="J59" s="441"/>
      <c r="K59" s="441"/>
      <c r="L59" s="441"/>
      <c r="M59" s="441"/>
      <c r="N59" s="442"/>
      <c r="O59" s="415"/>
      <c r="P59" s="416"/>
      <c r="Q59" s="416"/>
      <c r="R59" s="416"/>
      <c r="S59" s="417"/>
      <c r="T59" s="418"/>
      <c r="U59" s="419"/>
    </row>
    <row r="60" spans="1:21" x14ac:dyDescent="0.2">
      <c r="A60" s="204">
        <f t="shared" si="0"/>
        <v>37</v>
      </c>
      <c r="B60" s="440"/>
      <c r="C60" s="441"/>
      <c r="D60" s="441"/>
      <c r="E60" s="441"/>
      <c r="F60" s="441"/>
      <c r="G60" s="441"/>
      <c r="H60" s="441"/>
      <c r="I60" s="441"/>
      <c r="J60" s="441"/>
      <c r="K60" s="441"/>
      <c r="L60" s="441"/>
      <c r="M60" s="441"/>
      <c r="N60" s="442"/>
      <c r="O60" s="415"/>
      <c r="P60" s="416"/>
      <c r="Q60" s="416"/>
      <c r="R60" s="416"/>
      <c r="S60" s="417"/>
      <c r="T60" s="418"/>
      <c r="U60" s="419"/>
    </row>
    <row r="61" spans="1:21" x14ac:dyDescent="0.2">
      <c r="A61" s="204">
        <f t="shared" si="0"/>
        <v>38</v>
      </c>
      <c r="B61" s="440"/>
      <c r="C61" s="441"/>
      <c r="D61" s="441"/>
      <c r="E61" s="441"/>
      <c r="F61" s="441"/>
      <c r="G61" s="441"/>
      <c r="H61" s="441"/>
      <c r="I61" s="441"/>
      <c r="J61" s="441"/>
      <c r="K61" s="441"/>
      <c r="L61" s="441"/>
      <c r="M61" s="441"/>
      <c r="N61" s="442"/>
      <c r="O61" s="415"/>
      <c r="P61" s="416"/>
      <c r="Q61" s="416"/>
      <c r="R61" s="416"/>
      <c r="S61" s="417"/>
      <c r="T61" s="418"/>
      <c r="U61" s="419"/>
    </row>
    <row r="62" spans="1:21" x14ac:dyDescent="0.2">
      <c r="A62" s="204">
        <f t="shared" si="0"/>
        <v>39</v>
      </c>
      <c r="B62" s="440"/>
      <c r="C62" s="441"/>
      <c r="D62" s="441"/>
      <c r="E62" s="441"/>
      <c r="F62" s="441"/>
      <c r="G62" s="441"/>
      <c r="H62" s="441"/>
      <c r="I62" s="441"/>
      <c r="J62" s="441"/>
      <c r="K62" s="441"/>
      <c r="L62" s="441"/>
      <c r="M62" s="441"/>
      <c r="N62" s="442"/>
      <c r="O62" s="415"/>
      <c r="P62" s="416"/>
      <c r="Q62" s="416"/>
      <c r="R62" s="416"/>
      <c r="S62" s="417"/>
      <c r="T62" s="418"/>
      <c r="U62" s="419"/>
    </row>
    <row r="63" spans="1:21" x14ac:dyDescent="0.2">
      <c r="A63" s="204">
        <f t="shared" si="0"/>
        <v>40</v>
      </c>
      <c r="B63" s="440"/>
      <c r="C63" s="441"/>
      <c r="D63" s="441"/>
      <c r="E63" s="441"/>
      <c r="F63" s="441"/>
      <c r="G63" s="441"/>
      <c r="H63" s="441"/>
      <c r="I63" s="441"/>
      <c r="J63" s="441"/>
      <c r="K63" s="441"/>
      <c r="L63" s="441"/>
      <c r="M63" s="441"/>
      <c r="N63" s="442"/>
      <c r="O63" s="415"/>
      <c r="P63" s="416"/>
      <c r="Q63" s="416"/>
      <c r="R63" s="416"/>
      <c r="S63" s="417"/>
      <c r="T63" s="418"/>
      <c r="U63" s="419"/>
    </row>
    <row r="64" spans="1:21" x14ac:dyDescent="0.2">
      <c r="A64" s="204">
        <f t="shared" si="0"/>
        <v>41</v>
      </c>
      <c r="B64" s="440"/>
      <c r="C64" s="441"/>
      <c r="D64" s="441"/>
      <c r="E64" s="441"/>
      <c r="F64" s="441"/>
      <c r="G64" s="441"/>
      <c r="H64" s="441"/>
      <c r="I64" s="441"/>
      <c r="J64" s="441"/>
      <c r="K64" s="441"/>
      <c r="L64" s="441"/>
      <c r="M64" s="441"/>
      <c r="N64" s="442"/>
      <c r="O64" s="415"/>
      <c r="P64" s="416"/>
      <c r="Q64" s="416"/>
      <c r="R64" s="416"/>
      <c r="S64" s="417"/>
      <c r="T64" s="418"/>
      <c r="U64" s="419"/>
    </row>
    <row r="65" spans="1:21" x14ac:dyDescent="0.2">
      <c r="A65" s="204">
        <f t="shared" si="0"/>
        <v>42</v>
      </c>
      <c r="B65" s="440"/>
      <c r="C65" s="441"/>
      <c r="D65" s="441"/>
      <c r="E65" s="441"/>
      <c r="F65" s="441"/>
      <c r="G65" s="441"/>
      <c r="H65" s="441"/>
      <c r="I65" s="441"/>
      <c r="J65" s="441"/>
      <c r="K65" s="441"/>
      <c r="L65" s="441"/>
      <c r="M65" s="441"/>
      <c r="N65" s="442"/>
      <c r="O65" s="415"/>
      <c r="P65" s="416"/>
      <c r="Q65" s="416"/>
      <c r="R65" s="416"/>
      <c r="S65" s="417"/>
      <c r="T65" s="418"/>
      <c r="U65" s="419"/>
    </row>
    <row r="66" spans="1:21" x14ac:dyDescent="0.2">
      <c r="A66" s="204">
        <f t="shared" si="0"/>
        <v>43</v>
      </c>
      <c r="B66" s="440"/>
      <c r="C66" s="441"/>
      <c r="D66" s="441"/>
      <c r="E66" s="441"/>
      <c r="F66" s="441"/>
      <c r="G66" s="441"/>
      <c r="H66" s="441"/>
      <c r="I66" s="441"/>
      <c r="J66" s="441"/>
      <c r="K66" s="441"/>
      <c r="L66" s="441"/>
      <c r="M66" s="441"/>
      <c r="N66" s="442"/>
      <c r="O66" s="415"/>
      <c r="P66" s="416"/>
      <c r="Q66" s="416"/>
      <c r="R66" s="416"/>
      <c r="S66" s="417"/>
      <c r="T66" s="418"/>
      <c r="U66" s="419"/>
    </row>
    <row r="67" spans="1:21" x14ac:dyDescent="0.2">
      <c r="A67" s="204">
        <f t="shared" si="0"/>
        <v>44</v>
      </c>
      <c r="B67" s="440"/>
      <c r="C67" s="441"/>
      <c r="D67" s="441"/>
      <c r="E67" s="441"/>
      <c r="F67" s="441"/>
      <c r="G67" s="441"/>
      <c r="H67" s="441"/>
      <c r="I67" s="441"/>
      <c r="J67" s="441"/>
      <c r="K67" s="441"/>
      <c r="L67" s="441"/>
      <c r="M67" s="441"/>
      <c r="N67" s="442"/>
      <c r="O67" s="415"/>
      <c r="P67" s="416"/>
      <c r="Q67" s="416"/>
      <c r="R67" s="416"/>
      <c r="S67" s="417"/>
      <c r="T67" s="418"/>
      <c r="U67" s="419"/>
    </row>
    <row r="68" spans="1:21" x14ac:dyDescent="0.2">
      <c r="A68" s="204">
        <f t="shared" si="0"/>
        <v>45</v>
      </c>
      <c r="B68" s="440"/>
      <c r="C68" s="441"/>
      <c r="D68" s="441"/>
      <c r="E68" s="441"/>
      <c r="F68" s="441"/>
      <c r="G68" s="441"/>
      <c r="H68" s="441"/>
      <c r="I68" s="441"/>
      <c r="J68" s="441"/>
      <c r="K68" s="441"/>
      <c r="L68" s="441"/>
      <c r="M68" s="441"/>
      <c r="N68" s="442"/>
      <c r="O68" s="415"/>
      <c r="P68" s="416"/>
      <c r="Q68" s="416"/>
      <c r="R68" s="416"/>
      <c r="S68" s="417"/>
      <c r="T68" s="418"/>
      <c r="U68" s="419"/>
    </row>
    <row r="69" spans="1:21" x14ac:dyDescent="0.2">
      <c r="A69" s="204">
        <f t="shared" si="0"/>
        <v>46</v>
      </c>
      <c r="B69" s="440"/>
      <c r="C69" s="441"/>
      <c r="D69" s="441"/>
      <c r="E69" s="441"/>
      <c r="F69" s="441"/>
      <c r="G69" s="441"/>
      <c r="H69" s="441"/>
      <c r="I69" s="441"/>
      <c r="J69" s="441"/>
      <c r="K69" s="441"/>
      <c r="L69" s="441"/>
      <c r="M69" s="441"/>
      <c r="N69" s="442"/>
      <c r="O69" s="415"/>
      <c r="P69" s="416"/>
      <c r="Q69" s="416"/>
      <c r="R69" s="416"/>
      <c r="S69" s="417"/>
      <c r="T69" s="418"/>
      <c r="U69" s="419"/>
    </row>
    <row r="70" spans="1:21" x14ac:dyDescent="0.2">
      <c r="A70" s="204">
        <f t="shared" si="0"/>
        <v>47</v>
      </c>
      <c r="B70" s="440"/>
      <c r="C70" s="441"/>
      <c r="D70" s="441"/>
      <c r="E70" s="441"/>
      <c r="F70" s="441"/>
      <c r="G70" s="441"/>
      <c r="H70" s="441"/>
      <c r="I70" s="441"/>
      <c r="J70" s="441"/>
      <c r="K70" s="441"/>
      <c r="L70" s="441"/>
      <c r="M70" s="441"/>
      <c r="N70" s="442"/>
      <c r="O70" s="415"/>
      <c r="P70" s="416"/>
      <c r="Q70" s="416"/>
      <c r="R70" s="416"/>
      <c r="S70" s="417"/>
      <c r="T70" s="418"/>
      <c r="U70" s="419"/>
    </row>
    <row r="71" spans="1:21" x14ac:dyDescent="0.2">
      <c r="A71" s="204">
        <f t="shared" si="0"/>
        <v>48</v>
      </c>
      <c r="B71" s="440"/>
      <c r="C71" s="441"/>
      <c r="D71" s="441"/>
      <c r="E71" s="441"/>
      <c r="F71" s="441"/>
      <c r="G71" s="441"/>
      <c r="H71" s="441"/>
      <c r="I71" s="441"/>
      <c r="J71" s="441"/>
      <c r="K71" s="441"/>
      <c r="L71" s="441"/>
      <c r="M71" s="441"/>
      <c r="N71" s="442"/>
      <c r="O71" s="415"/>
      <c r="P71" s="416"/>
      <c r="Q71" s="416"/>
      <c r="R71" s="416"/>
      <c r="S71" s="417"/>
      <c r="T71" s="418"/>
      <c r="U71" s="419"/>
    </row>
    <row r="72" spans="1:21" x14ac:dyDescent="0.2">
      <c r="A72" s="204">
        <f t="shared" si="0"/>
        <v>49</v>
      </c>
      <c r="B72" s="440"/>
      <c r="C72" s="441"/>
      <c r="D72" s="441"/>
      <c r="E72" s="441"/>
      <c r="F72" s="441"/>
      <c r="G72" s="441"/>
      <c r="H72" s="441"/>
      <c r="I72" s="441"/>
      <c r="J72" s="441"/>
      <c r="K72" s="441"/>
      <c r="L72" s="441"/>
      <c r="M72" s="441"/>
      <c r="N72" s="442"/>
      <c r="O72" s="415"/>
      <c r="P72" s="416"/>
      <c r="Q72" s="416"/>
      <c r="R72" s="416"/>
      <c r="S72" s="417"/>
      <c r="T72" s="418"/>
      <c r="U72" s="419"/>
    </row>
    <row r="73" spans="1:21" x14ac:dyDescent="0.2">
      <c r="A73" s="204">
        <f t="shared" si="0"/>
        <v>50</v>
      </c>
      <c r="B73" s="440"/>
      <c r="C73" s="441"/>
      <c r="D73" s="441"/>
      <c r="E73" s="441"/>
      <c r="F73" s="441"/>
      <c r="G73" s="441"/>
      <c r="H73" s="441"/>
      <c r="I73" s="441"/>
      <c r="J73" s="441"/>
      <c r="K73" s="441"/>
      <c r="L73" s="441"/>
      <c r="M73" s="441"/>
      <c r="N73" s="442"/>
      <c r="O73" s="415"/>
      <c r="P73" s="416"/>
      <c r="Q73" s="416"/>
      <c r="R73" s="416"/>
      <c r="S73" s="417"/>
      <c r="T73" s="418"/>
      <c r="U73" s="419"/>
    </row>
    <row r="74" spans="1:21" x14ac:dyDescent="0.2">
      <c r="A74" s="204">
        <f t="shared" si="0"/>
        <v>51</v>
      </c>
      <c r="B74" s="440"/>
      <c r="C74" s="441"/>
      <c r="D74" s="441"/>
      <c r="E74" s="441"/>
      <c r="F74" s="441"/>
      <c r="G74" s="441"/>
      <c r="H74" s="441"/>
      <c r="I74" s="441"/>
      <c r="J74" s="441"/>
      <c r="K74" s="441"/>
      <c r="L74" s="441"/>
      <c r="M74" s="441"/>
      <c r="N74" s="442"/>
      <c r="O74" s="415"/>
      <c r="P74" s="416"/>
      <c r="Q74" s="416"/>
      <c r="R74" s="416"/>
      <c r="S74" s="417"/>
      <c r="T74" s="418"/>
      <c r="U74" s="419"/>
    </row>
    <row r="75" spans="1:21" x14ac:dyDescent="0.2">
      <c r="A75" s="204">
        <f t="shared" si="0"/>
        <v>52</v>
      </c>
      <c r="B75" s="440"/>
      <c r="C75" s="441"/>
      <c r="D75" s="441"/>
      <c r="E75" s="441"/>
      <c r="F75" s="441"/>
      <c r="G75" s="441"/>
      <c r="H75" s="441"/>
      <c r="I75" s="441"/>
      <c r="J75" s="441"/>
      <c r="K75" s="441"/>
      <c r="L75" s="441"/>
      <c r="M75" s="441"/>
      <c r="N75" s="442"/>
      <c r="O75" s="415"/>
      <c r="P75" s="416"/>
      <c r="Q75" s="416"/>
      <c r="R75" s="416"/>
      <c r="S75" s="417"/>
      <c r="T75" s="418"/>
      <c r="U75" s="419"/>
    </row>
    <row r="76" spans="1:21" x14ac:dyDescent="0.2">
      <c r="A76" s="204">
        <f t="shared" si="0"/>
        <v>53</v>
      </c>
      <c r="B76" s="440"/>
      <c r="C76" s="441"/>
      <c r="D76" s="441"/>
      <c r="E76" s="441"/>
      <c r="F76" s="441"/>
      <c r="G76" s="441"/>
      <c r="H76" s="441"/>
      <c r="I76" s="441"/>
      <c r="J76" s="441"/>
      <c r="K76" s="441"/>
      <c r="L76" s="441"/>
      <c r="M76" s="441"/>
      <c r="N76" s="442"/>
      <c r="O76" s="415"/>
      <c r="P76" s="416"/>
      <c r="Q76" s="416"/>
      <c r="R76" s="416"/>
      <c r="S76" s="417"/>
      <c r="T76" s="418"/>
      <c r="U76" s="419"/>
    </row>
    <row r="77" spans="1:21" x14ac:dyDescent="0.2">
      <c r="A77" s="204">
        <f t="shared" si="0"/>
        <v>54</v>
      </c>
      <c r="B77" s="440"/>
      <c r="C77" s="441"/>
      <c r="D77" s="441"/>
      <c r="E77" s="441"/>
      <c r="F77" s="441"/>
      <c r="G77" s="441"/>
      <c r="H77" s="441"/>
      <c r="I77" s="441"/>
      <c r="J77" s="441"/>
      <c r="K77" s="441"/>
      <c r="L77" s="441"/>
      <c r="M77" s="441"/>
      <c r="N77" s="442"/>
      <c r="O77" s="415"/>
      <c r="P77" s="416"/>
      <c r="Q77" s="416"/>
      <c r="R77" s="416"/>
      <c r="S77" s="417"/>
      <c r="T77" s="418"/>
      <c r="U77" s="419"/>
    </row>
    <row r="78" spans="1:21" x14ac:dyDescent="0.2">
      <c r="A78" s="204">
        <f t="shared" si="0"/>
        <v>55</v>
      </c>
      <c r="B78" s="440"/>
      <c r="C78" s="441"/>
      <c r="D78" s="441"/>
      <c r="E78" s="441"/>
      <c r="F78" s="441"/>
      <c r="G78" s="441"/>
      <c r="H78" s="441"/>
      <c r="I78" s="441"/>
      <c r="J78" s="441"/>
      <c r="K78" s="441"/>
      <c r="L78" s="441"/>
      <c r="M78" s="441"/>
      <c r="N78" s="442"/>
      <c r="O78" s="415"/>
      <c r="P78" s="416"/>
      <c r="Q78" s="416"/>
      <c r="R78" s="416"/>
      <c r="S78" s="417"/>
      <c r="T78" s="418"/>
      <c r="U78" s="419"/>
    </row>
    <row r="79" spans="1:21" x14ac:dyDescent="0.2">
      <c r="A79" s="204">
        <f t="shared" si="0"/>
        <v>56</v>
      </c>
      <c r="B79" s="440"/>
      <c r="C79" s="441"/>
      <c r="D79" s="441"/>
      <c r="E79" s="441"/>
      <c r="F79" s="441"/>
      <c r="G79" s="441"/>
      <c r="H79" s="441"/>
      <c r="I79" s="441"/>
      <c r="J79" s="441"/>
      <c r="K79" s="441"/>
      <c r="L79" s="441"/>
      <c r="M79" s="441"/>
      <c r="N79" s="442"/>
      <c r="O79" s="415"/>
      <c r="P79" s="416"/>
      <c r="Q79" s="416"/>
      <c r="R79" s="416"/>
      <c r="S79" s="417"/>
      <c r="T79" s="418"/>
      <c r="U79" s="419"/>
    </row>
    <row r="80" spans="1:21" x14ac:dyDescent="0.2">
      <c r="A80" s="204">
        <f t="shared" si="0"/>
        <v>57</v>
      </c>
      <c r="B80" s="440"/>
      <c r="C80" s="441"/>
      <c r="D80" s="441"/>
      <c r="E80" s="441"/>
      <c r="F80" s="441"/>
      <c r="G80" s="441"/>
      <c r="H80" s="441"/>
      <c r="I80" s="441"/>
      <c r="J80" s="441"/>
      <c r="K80" s="441"/>
      <c r="L80" s="441"/>
      <c r="M80" s="441"/>
      <c r="N80" s="442"/>
      <c r="O80" s="415"/>
      <c r="P80" s="416"/>
      <c r="Q80" s="416"/>
      <c r="R80" s="416"/>
      <c r="S80" s="417"/>
      <c r="T80" s="418"/>
      <c r="U80" s="419"/>
    </row>
    <row r="81" spans="1:21" x14ac:dyDescent="0.2">
      <c r="A81" s="204">
        <f t="shared" si="0"/>
        <v>58</v>
      </c>
      <c r="B81" s="440"/>
      <c r="C81" s="441"/>
      <c r="D81" s="441"/>
      <c r="E81" s="441"/>
      <c r="F81" s="441"/>
      <c r="G81" s="441"/>
      <c r="H81" s="441"/>
      <c r="I81" s="441"/>
      <c r="J81" s="441"/>
      <c r="K81" s="441"/>
      <c r="L81" s="441"/>
      <c r="M81" s="441"/>
      <c r="N81" s="442"/>
      <c r="O81" s="415"/>
      <c r="P81" s="416"/>
      <c r="Q81" s="416"/>
      <c r="R81" s="416"/>
      <c r="S81" s="417"/>
      <c r="T81" s="418"/>
      <c r="U81" s="419"/>
    </row>
    <row r="82" spans="1:21" x14ac:dyDescent="0.2">
      <c r="A82" s="204">
        <f t="shared" si="0"/>
        <v>59</v>
      </c>
      <c r="B82" s="440"/>
      <c r="C82" s="441"/>
      <c r="D82" s="441"/>
      <c r="E82" s="441"/>
      <c r="F82" s="441"/>
      <c r="G82" s="441"/>
      <c r="H82" s="441"/>
      <c r="I82" s="441"/>
      <c r="J82" s="441"/>
      <c r="K82" s="441"/>
      <c r="L82" s="441"/>
      <c r="M82" s="441"/>
      <c r="N82" s="442"/>
      <c r="O82" s="415"/>
      <c r="P82" s="416"/>
      <c r="Q82" s="416"/>
      <c r="R82" s="416"/>
      <c r="S82" s="417"/>
      <c r="T82" s="418"/>
      <c r="U82" s="419"/>
    </row>
    <row r="83" spans="1:21" x14ac:dyDescent="0.2">
      <c r="A83" s="204">
        <f t="shared" si="0"/>
        <v>60</v>
      </c>
      <c r="B83" s="440"/>
      <c r="C83" s="441"/>
      <c r="D83" s="441"/>
      <c r="E83" s="441"/>
      <c r="F83" s="441"/>
      <c r="G83" s="441"/>
      <c r="H83" s="441"/>
      <c r="I83" s="441"/>
      <c r="J83" s="441"/>
      <c r="K83" s="441"/>
      <c r="L83" s="441"/>
      <c r="M83" s="441"/>
      <c r="N83" s="442"/>
      <c r="O83" s="415"/>
      <c r="P83" s="416"/>
      <c r="Q83" s="416"/>
      <c r="R83" s="416"/>
      <c r="S83" s="417"/>
      <c r="T83" s="418"/>
      <c r="U83" s="419"/>
    </row>
    <row r="84" spans="1:21" x14ac:dyDescent="0.2">
      <c r="A84" s="204">
        <f t="shared" si="0"/>
        <v>61</v>
      </c>
      <c r="B84" s="440"/>
      <c r="C84" s="441"/>
      <c r="D84" s="441"/>
      <c r="E84" s="441"/>
      <c r="F84" s="441"/>
      <c r="G84" s="441"/>
      <c r="H84" s="441"/>
      <c r="I84" s="441"/>
      <c r="J84" s="441"/>
      <c r="K84" s="441"/>
      <c r="L84" s="441"/>
      <c r="M84" s="441"/>
      <c r="N84" s="442"/>
      <c r="O84" s="415"/>
      <c r="P84" s="416"/>
      <c r="Q84" s="416"/>
      <c r="R84" s="416"/>
      <c r="S84" s="417"/>
      <c r="T84" s="418"/>
      <c r="U84" s="419"/>
    </row>
    <row r="85" spans="1:21" x14ac:dyDescent="0.2">
      <c r="A85" s="204">
        <f t="shared" si="0"/>
        <v>62</v>
      </c>
      <c r="B85" s="440"/>
      <c r="C85" s="441"/>
      <c r="D85" s="441"/>
      <c r="E85" s="441"/>
      <c r="F85" s="441"/>
      <c r="G85" s="441"/>
      <c r="H85" s="441"/>
      <c r="I85" s="441"/>
      <c r="J85" s="441"/>
      <c r="K85" s="441"/>
      <c r="L85" s="441"/>
      <c r="M85" s="441"/>
      <c r="N85" s="442"/>
      <c r="O85" s="415"/>
      <c r="P85" s="416"/>
      <c r="Q85" s="416"/>
      <c r="R85" s="416"/>
      <c r="S85" s="417"/>
      <c r="T85" s="418"/>
      <c r="U85" s="419"/>
    </row>
    <row r="86" spans="1:21" x14ac:dyDescent="0.2">
      <c r="A86" s="204">
        <f t="shared" si="0"/>
        <v>63</v>
      </c>
      <c r="B86" s="440"/>
      <c r="C86" s="441"/>
      <c r="D86" s="441"/>
      <c r="E86" s="441"/>
      <c r="F86" s="441"/>
      <c r="G86" s="441"/>
      <c r="H86" s="441"/>
      <c r="I86" s="441"/>
      <c r="J86" s="441"/>
      <c r="K86" s="441"/>
      <c r="L86" s="441"/>
      <c r="M86" s="441"/>
      <c r="N86" s="442"/>
      <c r="O86" s="415"/>
      <c r="P86" s="416"/>
      <c r="Q86" s="416"/>
      <c r="R86" s="416"/>
      <c r="S86" s="417"/>
      <c r="T86" s="418"/>
      <c r="U86" s="419"/>
    </row>
    <row r="87" spans="1:21" x14ac:dyDescent="0.2">
      <c r="A87" s="204">
        <f t="shared" si="0"/>
        <v>64</v>
      </c>
      <c r="B87" s="440"/>
      <c r="C87" s="441"/>
      <c r="D87" s="441"/>
      <c r="E87" s="441"/>
      <c r="F87" s="441"/>
      <c r="G87" s="441"/>
      <c r="H87" s="441"/>
      <c r="I87" s="441"/>
      <c r="J87" s="441"/>
      <c r="K87" s="441"/>
      <c r="L87" s="441"/>
      <c r="M87" s="441"/>
      <c r="N87" s="442"/>
      <c r="O87" s="415"/>
      <c r="P87" s="416"/>
      <c r="Q87" s="416"/>
      <c r="R87" s="416"/>
      <c r="S87" s="417"/>
      <c r="T87" s="418"/>
      <c r="U87" s="419"/>
    </row>
    <row r="88" spans="1:21" x14ac:dyDescent="0.2">
      <c r="A88" s="204">
        <f t="shared" si="0"/>
        <v>65</v>
      </c>
      <c r="B88" s="440"/>
      <c r="C88" s="441"/>
      <c r="D88" s="441"/>
      <c r="E88" s="441"/>
      <c r="F88" s="441"/>
      <c r="G88" s="441"/>
      <c r="H88" s="441"/>
      <c r="I88" s="441"/>
      <c r="J88" s="441"/>
      <c r="K88" s="441"/>
      <c r="L88" s="441"/>
      <c r="M88" s="441"/>
      <c r="N88" s="442"/>
      <c r="O88" s="415"/>
      <c r="P88" s="416"/>
      <c r="Q88" s="416"/>
      <c r="R88" s="416"/>
      <c r="S88" s="417"/>
      <c r="T88" s="418"/>
      <c r="U88" s="419"/>
    </row>
    <row r="89" spans="1:21" x14ac:dyDescent="0.2">
      <c r="A89" s="204">
        <f t="shared" ref="A89:A152" si="1">A88+1</f>
        <v>66</v>
      </c>
      <c r="B89" s="440"/>
      <c r="C89" s="441"/>
      <c r="D89" s="441"/>
      <c r="E89" s="441"/>
      <c r="F89" s="441"/>
      <c r="G89" s="441"/>
      <c r="H89" s="441"/>
      <c r="I89" s="441"/>
      <c r="J89" s="441"/>
      <c r="K89" s="441"/>
      <c r="L89" s="441"/>
      <c r="M89" s="441"/>
      <c r="N89" s="442"/>
      <c r="O89" s="415"/>
      <c r="P89" s="416"/>
      <c r="Q89" s="416"/>
      <c r="R89" s="416"/>
      <c r="S89" s="417"/>
      <c r="T89" s="418"/>
      <c r="U89" s="419"/>
    </row>
    <row r="90" spans="1:21" x14ac:dyDescent="0.2">
      <c r="A90" s="204">
        <f t="shared" si="1"/>
        <v>67</v>
      </c>
      <c r="B90" s="440"/>
      <c r="C90" s="441"/>
      <c r="D90" s="441"/>
      <c r="E90" s="441"/>
      <c r="F90" s="441"/>
      <c r="G90" s="441"/>
      <c r="H90" s="441"/>
      <c r="I90" s="441"/>
      <c r="J90" s="441"/>
      <c r="K90" s="441"/>
      <c r="L90" s="441"/>
      <c r="M90" s="441"/>
      <c r="N90" s="442"/>
      <c r="O90" s="415"/>
      <c r="P90" s="416"/>
      <c r="Q90" s="416"/>
      <c r="R90" s="416"/>
      <c r="S90" s="417"/>
      <c r="T90" s="418"/>
      <c r="U90" s="419"/>
    </row>
    <row r="91" spans="1:21" x14ac:dyDescent="0.2">
      <c r="A91" s="204">
        <f t="shared" si="1"/>
        <v>68</v>
      </c>
      <c r="B91" s="440"/>
      <c r="C91" s="441"/>
      <c r="D91" s="441"/>
      <c r="E91" s="441"/>
      <c r="F91" s="441"/>
      <c r="G91" s="441"/>
      <c r="H91" s="441"/>
      <c r="I91" s="441"/>
      <c r="J91" s="441"/>
      <c r="K91" s="441"/>
      <c r="L91" s="441"/>
      <c r="M91" s="441"/>
      <c r="N91" s="442"/>
      <c r="O91" s="415"/>
      <c r="P91" s="416"/>
      <c r="Q91" s="416"/>
      <c r="R91" s="416"/>
      <c r="S91" s="417"/>
      <c r="T91" s="418"/>
      <c r="U91" s="419"/>
    </row>
    <row r="92" spans="1:21" x14ac:dyDescent="0.2">
      <c r="A92" s="204">
        <f t="shared" si="1"/>
        <v>69</v>
      </c>
      <c r="B92" s="440"/>
      <c r="C92" s="441"/>
      <c r="D92" s="441"/>
      <c r="E92" s="441"/>
      <c r="F92" s="441"/>
      <c r="G92" s="441"/>
      <c r="H92" s="441"/>
      <c r="I92" s="441"/>
      <c r="J92" s="441"/>
      <c r="K92" s="441"/>
      <c r="L92" s="441"/>
      <c r="M92" s="441"/>
      <c r="N92" s="442"/>
      <c r="O92" s="415"/>
      <c r="P92" s="416"/>
      <c r="Q92" s="416"/>
      <c r="R92" s="416"/>
      <c r="S92" s="417"/>
      <c r="T92" s="418"/>
      <c r="U92" s="419"/>
    </row>
    <row r="93" spans="1:21" x14ac:dyDescent="0.2">
      <c r="A93" s="204">
        <f t="shared" si="1"/>
        <v>70</v>
      </c>
      <c r="B93" s="440"/>
      <c r="C93" s="441"/>
      <c r="D93" s="441"/>
      <c r="E93" s="441"/>
      <c r="F93" s="441"/>
      <c r="G93" s="441"/>
      <c r="H93" s="441"/>
      <c r="I93" s="441"/>
      <c r="J93" s="441"/>
      <c r="K93" s="441"/>
      <c r="L93" s="441"/>
      <c r="M93" s="441"/>
      <c r="N93" s="442"/>
      <c r="O93" s="415"/>
      <c r="P93" s="416"/>
      <c r="Q93" s="416"/>
      <c r="R93" s="416"/>
      <c r="S93" s="417"/>
      <c r="T93" s="418"/>
      <c r="U93" s="419"/>
    </row>
    <row r="94" spans="1:21" x14ac:dyDescent="0.2">
      <c r="A94" s="204">
        <f t="shared" si="1"/>
        <v>71</v>
      </c>
      <c r="B94" s="440"/>
      <c r="C94" s="441"/>
      <c r="D94" s="441"/>
      <c r="E94" s="441"/>
      <c r="F94" s="441"/>
      <c r="G94" s="441"/>
      <c r="H94" s="441"/>
      <c r="I94" s="441"/>
      <c r="J94" s="441"/>
      <c r="K94" s="441"/>
      <c r="L94" s="441"/>
      <c r="M94" s="441"/>
      <c r="N94" s="442"/>
      <c r="O94" s="415"/>
      <c r="P94" s="416"/>
      <c r="Q94" s="416"/>
      <c r="R94" s="416"/>
      <c r="S94" s="417"/>
      <c r="T94" s="418"/>
      <c r="U94" s="419"/>
    </row>
    <row r="95" spans="1:21" x14ac:dyDescent="0.2">
      <c r="A95" s="204">
        <f t="shared" si="1"/>
        <v>72</v>
      </c>
      <c r="B95" s="440"/>
      <c r="C95" s="441"/>
      <c r="D95" s="441"/>
      <c r="E95" s="441"/>
      <c r="F95" s="441"/>
      <c r="G95" s="441"/>
      <c r="H95" s="441"/>
      <c r="I95" s="441"/>
      <c r="J95" s="441"/>
      <c r="K95" s="441"/>
      <c r="L95" s="441"/>
      <c r="M95" s="441"/>
      <c r="N95" s="442"/>
      <c r="O95" s="415"/>
      <c r="P95" s="416"/>
      <c r="Q95" s="416"/>
      <c r="R95" s="416"/>
      <c r="S95" s="417"/>
      <c r="T95" s="418"/>
      <c r="U95" s="419"/>
    </row>
    <row r="96" spans="1:21" x14ac:dyDescent="0.2">
      <c r="A96" s="204">
        <f t="shared" si="1"/>
        <v>73</v>
      </c>
      <c r="B96" s="440"/>
      <c r="C96" s="441"/>
      <c r="D96" s="441"/>
      <c r="E96" s="441"/>
      <c r="F96" s="441"/>
      <c r="G96" s="441"/>
      <c r="H96" s="441"/>
      <c r="I96" s="441"/>
      <c r="J96" s="441"/>
      <c r="K96" s="441"/>
      <c r="L96" s="441"/>
      <c r="M96" s="441"/>
      <c r="N96" s="442"/>
      <c r="O96" s="415"/>
      <c r="P96" s="416"/>
      <c r="Q96" s="416"/>
      <c r="R96" s="416"/>
      <c r="S96" s="417"/>
      <c r="T96" s="418"/>
      <c r="U96" s="419"/>
    </row>
    <row r="97" spans="1:21" x14ac:dyDescent="0.2">
      <c r="A97" s="204">
        <f t="shared" si="1"/>
        <v>74</v>
      </c>
      <c r="B97" s="440"/>
      <c r="C97" s="441"/>
      <c r="D97" s="441"/>
      <c r="E97" s="441"/>
      <c r="F97" s="441"/>
      <c r="G97" s="441"/>
      <c r="H97" s="441"/>
      <c r="I97" s="441"/>
      <c r="J97" s="441"/>
      <c r="K97" s="441"/>
      <c r="L97" s="441"/>
      <c r="M97" s="441"/>
      <c r="N97" s="442"/>
      <c r="O97" s="415"/>
      <c r="P97" s="416"/>
      <c r="Q97" s="416"/>
      <c r="R97" s="416"/>
      <c r="S97" s="417"/>
      <c r="T97" s="418"/>
      <c r="U97" s="419"/>
    </row>
    <row r="98" spans="1:21" x14ac:dyDescent="0.2">
      <c r="A98" s="204">
        <f t="shared" si="1"/>
        <v>75</v>
      </c>
      <c r="B98" s="440"/>
      <c r="C98" s="441"/>
      <c r="D98" s="441"/>
      <c r="E98" s="441"/>
      <c r="F98" s="441"/>
      <c r="G98" s="441"/>
      <c r="H98" s="441"/>
      <c r="I98" s="441"/>
      <c r="J98" s="441"/>
      <c r="K98" s="441"/>
      <c r="L98" s="441"/>
      <c r="M98" s="441"/>
      <c r="N98" s="442"/>
      <c r="O98" s="415"/>
      <c r="P98" s="416"/>
      <c r="Q98" s="416"/>
      <c r="R98" s="416"/>
      <c r="S98" s="417"/>
      <c r="T98" s="418"/>
      <c r="U98" s="419"/>
    </row>
    <row r="99" spans="1:21" x14ac:dyDescent="0.2">
      <c r="A99" s="204">
        <f t="shared" si="1"/>
        <v>76</v>
      </c>
      <c r="B99" s="440"/>
      <c r="C99" s="441"/>
      <c r="D99" s="441"/>
      <c r="E99" s="441"/>
      <c r="F99" s="441"/>
      <c r="G99" s="441"/>
      <c r="H99" s="441"/>
      <c r="I99" s="441"/>
      <c r="J99" s="441"/>
      <c r="K99" s="441"/>
      <c r="L99" s="441"/>
      <c r="M99" s="441"/>
      <c r="N99" s="442"/>
      <c r="O99" s="415"/>
      <c r="P99" s="416"/>
      <c r="Q99" s="416"/>
      <c r="R99" s="416"/>
      <c r="S99" s="417"/>
      <c r="T99" s="418"/>
      <c r="U99" s="419"/>
    </row>
    <row r="100" spans="1:21" x14ac:dyDescent="0.2">
      <c r="A100" s="204">
        <f t="shared" si="1"/>
        <v>77</v>
      </c>
      <c r="B100" s="440"/>
      <c r="C100" s="441"/>
      <c r="D100" s="441"/>
      <c r="E100" s="441"/>
      <c r="F100" s="441"/>
      <c r="G100" s="441"/>
      <c r="H100" s="441"/>
      <c r="I100" s="441"/>
      <c r="J100" s="441"/>
      <c r="K100" s="441"/>
      <c r="L100" s="441"/>
      <c r="M100" s="441"/>
      <c r="N100" s="442"/>
      <c r="O100" s="415"/>
      <c r="P100" s="416"/>
      <c r="Q100" s="416"/>
      <c r="R100" s="416"/>
      <c r="S100" s="417"/>
      <c r="T100" s="418"/>
      <c r="U100" s="419"/>
    </row>
    <row r="101" spans="1:21" x14ac:dyDescent="0.2">
      <c r="A101" s="204">
        <f t="shared" si="1"/>
        <v>78</v>
      </c>
      <c r="B101" s="440"/>
      <c r="C101" s="441"/>
      <c r="D101" s="441"/>
      <c r="E101" s="441"/>
      <c r="F101" s="441"/>
      <c r="G101" s="441"/>
      <c r="H101" s="441"/>
      <c r="I101" s="441"/>
      <c r="J101" s="441"/>
      <c r="K101" s="441"/>
      <c r="L101" s="441"/>
      <c r="M101" s="441"/>
      <c r="N101" s="442"/>
      <c r="O101" s="415"/>
      <c r="P101" s="416"/>
      <c r="Q101" s="416"/>
      <c r="R101" s="416"/>
      <c r="S101" s="417"/>
      <c r="T101" s="418"/>
      <c r="U101" s="419"/>
    </row>
    <row r="102" spans="1:21" x14ac:dyDescent="0.2">
      <c r="A102" s="204">
        <f t="shared" si="1"/>
        <v>79</v>
      </c>
      <c r="B102" s="440"/>
      <c r="C102" s="441"/>
      <c r="D102" s="441"/>
      <c r="E102" s="441"/>
      <c r="F102" s="441"/>
      <c r="G102" s="441"/>
      <c r="H102" s="441"/>
      <c r="I102" s="441"/>
      <c r="J102" s="441"/>
      <c r="K102" s="441"/>
      <c r="L102" s="441"/>
      <c r="M102" s="441"/>
      <c r="N102" s="442"/>
      <c r="O102" s="415"/>
      <c r="P102" s="416"/>
      <c r="Q102" s="416"/>
      <c r="R102" s="416"/>
      <c r="S102" s="417"/>
      <c r="T102" s="418"/>
      <c r="U102" s="419"/>
    </row>
    <row r="103" spans="1:21" x14ac:dyDescent="0.2">
      <c r="A103" s="204">
        <f t="shared" si="1"/>
        <v>80</v>
      </c>
      <c r="B103" s="440"/>
      <c r="C103" s="441"/>
      <c r="D103" s="441"/>
      <c r="E103" s="441"/>
      <c r="F103" s="441"/>
      <c r="G103" s="441"/>
      <c r="H103" s="441"/>
      <c r="I103" s="441"/>
      <c r="J103" s="441"/>
      <c r="K103" s="441"/>
      <c r="L103" s="441"/>
      <c r="M103" s="441"/>
      <c r="N103" s="442"/>
      <c r="O103" s="415"/>
      <c r="P103" s="416"/>
      <c r="Q103" s="416"/>
      <c r="R103" s="416"/>
      <c r="S103" s="417"/>
      <c r="T103" s="418"/>
      <c r="U103" s="419"/>
    </row>
    <row r="104" spans="1:21" x14ac:dyDescent="0.2">
      <c r="A104" s="204">
        <f t="shared" si="1"/>
        <v>81</v>
      </c>
      <c r="B104" s="440"/>
      <c r="C104" s="441"/>
      <c r="D104" s="441"/>
      <c r="E104" s="441"/>
      <c r="F104" s="441"/>
      <c r="G104" s="441"/>
      <c r="H104" s="441"/>
      <c r="I104" s="441"/>
      <c r="J104" s="441"/>
      <c r="K104" s="441"/>
      <c r="L104" s="441"/>
      <c r="M104" s="441"/>
      <c r="N104" s="442"/>
      <c r="O104" s="415"/>
      <c r="P104" s="416"/>
      <c r="Q104" s="416"/>
      <c r="R104" s="416"/>
      <c r="S104" s="417"/>
      <c r="T104" s="418"/>
      <c r="U104" s="419"/>
    </row>
    <row r="105" spans="1:21" x14ac:dyDescent="0.2">
      <c r="A105" s="204">
        <f t="shared" si="1"/>
        <v>82</v>
      </c>
      <c r="B105" s="440"/>
      <c r="C105" s="441"/>
      <c r="D105" s="441"/>
      <c r="E105" s="441"/>
      <c r="F105" s="441"/>
      <c r="G105" s="441"/>
      <c r="H105" s="441"/>
      <c r="I105" s="441"/>
      <c r="J105" s="441"/>
      <c r="K105" s="441"/>
      <c r="L105" s="441"/>
      <c r="M105" s="441"/>
      <c r="N105" s="442"/>
      <c r="O105" s="415"/>
      <c r="P105" s="416"/>
      <c r="Q105" s="416"/>
      <c r="R105" s="416"/>
      <c r="S105" s="417"/>
      <c r="T105" s="418"/>
      <c r="U105" s="419"/>
    </row>
    <row r="106" spans="1:21" x14ac:dyDescent="0.2">
      <c r="A106" s="204">
        <f t="shared" si="1"/>
        <v>83</v>
      </c>
      <c r="B106" s="440"/>
      <c r="C106" s="441"/>
      <c r="D106" s="441"/>
      <c r="E106" s="441"/>
      <c r="F106" s="441"/>
      <c r="G106" s="441"/>
      <c r="H106" s="441"/>
      <c r="I106" s="441"/>
      <c r="J106" s="441"/>
      <c r="K106" s="441"/>
      <c r="L106" s="441"/>
      <c r="M106" s="441"/>
      <c r="N106" s="442"/>
      <c r="O106" s="415"/>
      <c r="P106" s="416"/>
      <c r="Q106" s="416"/>
      <c r="R106" s="416"/>
      <c r="S106" s="417"/>
      <c r="T106" s="418"/>
      <c r="U106" s="419"/>
    </row>
    <row r="107" spans="1:21" x14ac:dyDescent="0.2">
      <c r="A107" s="204">
        <f t="shared" si="1"/>
        <v>84</v>
      </c>
      <c r="B107" s="440"/>
      <c r="C107" s="441"/>
      <c r="D107" s="441"/>
      <c r="E107" s="441"/>
      <c r="F107" s="441"/>
      <c r="G107" s="441"/>
      <c r="H107" s="441"/>
      <c r="I107" s="441"/>
      <c r="J107" s="441"/>
      <c r="K107" s="441"/>
      <c r="L107" s="441"/>
      <c r="M107" s="441"/>
      <c r="N107" s="442"/>
      <c r="O107" s="415"/>
      <c r="P107" s="416"/>
      <c r="Q107" s="416"/>
      <c r="R107" s="416"/>
      <c r="S107" s="417"/>
      <c r="T107" s="418"/>
      <c r="U107" s="419"/>
    </row>
    <row r="108" spans="1:21" x14ac:dyDescent="0.2">
      <c r="A108" s="204">
        <f t="shared" si="1"/>
        <v>85</v>
      </c>
      <c r="B108" s="440"/>
      <c r="C108" s="441"/>
      <c r="D108" s="441"/>
      <c r="E108" s="441"/>
      <c r="F108" s="441"/>
      <c r="G108" s="441"/>
      <c r="H108" s="441"/>
      <c r="I108" s="441"/>
      <c r="J108" s="441"/>
      <c r="K108" s="441"/>
      <c r="L108" s="441"/>
      <c r="M108" s="441"/>
      <c r="N108" s="442"/>
      <c r="O108" s="415"/>
      <c r="P108" s="416"/>
      <c r="Q108" s="416"/>
      <c r="R108" s="416"/>
      <c r="S108" s="417"/>
      <c r="T108" s="418"/>
      <c r="U108" s="419"/>
    </row>
    <row r="109" spans="1:21" x14ac:dyDescent="0.2">
      <c r="A109" s="204">
        <f t="shared" si="1"/>
        <v>86</v>
      </c>
      <c r="B109" s="440"/>
      <c r="C109" s="441"/>
      <c r="D109" s="441"/>
      <c r="E109" s="441"/>
      <c r="F109" s="441"/>
      <c r="G109" s="441"/>
      <c r="H109" s="441"/>
      <c r="I109" s="441"/>
      <c r="J109" s="441"/>
      <c r="K109" s="441"/>
      <c r="L109" s="441"/>
      <c r="M109" s="441"/>
      <c r="N109" s="442"/>
      <c r="O109" s="415"/>
      <c r="P109" s="416"/>
      <c r="Q109" s="416"/>
      <c r="R109" s="416"/>
      <c r="S109" s="417"/>
      <c r="T109" s="418"/>
      <c r="U109" s="419"/>
    </row>
    <row r="110" spans="1:21" x14ac:dyDescent="0.2">
      <c r="A110" s="204">
        <f t="shared" si="1"/>
        <v>87</v>
      </c>
      <c r="B110" s="440"/>
      <c r="C110" s="441"/>
      <c r="D110" s="441"/>
      <c r="E110" s="441"/>
      <c r="F110" s="441"/>
      <c r="G110" s="441"/>
      <c r="H110" s="441"/>
      <c r="I110" s="441"/>
      <c r="J110" s="441"/>
      <c r="K110" s="441"/>
      <c r="L110" s="441"/>
      <c r="M110" s="441"/>
      <c r="N110" s="442"/>
      <c r="O110" s="415"/>
      <c r="P110" s="416"/>
      <c r="Q110" s="416"/>
      <c r="R110" s="416"/>
      <c r="S110" s="417"/>
      <c r="T110" s="418"/>
      <c r="U110" s="419"/>
    </row>
    <row r="111" spans="1:21" x14ac:dyDescent="0.2">
      <c r="A111" s="204">
        <f t="shared" si="1"/>
        <v>88</v>
      </c>
      <c r="B111" s="440"/>
      <c r="C111" s="441"/>
      <c r="D111" s="441"/>
      <c r="E111" s="441"/>
      <c r="F111" s="441"/>
      <c r="G111" s="441"/>
      <c r="H111" s="441"/>
      <c r="I111" s="441"/>
      <c r="J111" s="441"/>
      <c r="K111" s="441"/>
      <c r="L111" s="441"/>
      <c r="M111" s="441"/>
      <c r="N111" s="442"/>
      <c r="O111" s="415"/>
      <c r="P111" s="416"/>
      <c r="Q111" s="416"/>
      <c r="R111" s="416"/>
      <c r="S111" s="417"/>
      <c r="T111" s="418"/>
      <c r="U111" s="419"/>
    </row>
    <row r="112" spans="1:21" x14ac:dyDescent="0.2">
      <c r="A112" s="204">
        <f t="shared" si="1"/>
        <v>89</v>
      </c>
      <c r="B112" s="440"/>
      <c r="C112" s="441"/>
      <c r="D112" s="441"/>
      <c r="E112" s="441"/>
      <c r="F112" s="441"/>
      <c r="G112" s="441"/>
      <c r="H112" s="441"/>
      <c r="I112" s="441"/>
      <c r="J112" s="441"/>
      <c r="K112" s="441"/>
      <c r="L112" s="441"/>
      <c r="M112" s="441"/>
      <c r="N112" s="442"/>
      <c r="O112" s="415"/>
      <c r="P112" s="416"/>
      <c r="Q112" s="416"/>
      <c r="R112" s="416"/>
      <c r="S112" s="417"/>
      <c r="T112" s="418"/>
      <c r="U112" s="419"/>
    </row>
    <row r="113" spans="1:21" x14ac:dyDescent="0.2">
      <c r="A113" s="204">
        <f t="shared" si="1"/>
        <v>90</v>
      </c>
      <c r="B113" s="440"/>
      <c r="C113" s="441"/>
      <c r="D113" s="441"/>
      <c r="E113" s="441"/>
      <c r="F113" s="441"/>
      <c r="G113" s="441"/>
      <c r="H113" s="441"/>
      <c r="I113" s="441"/>
      <c r="J113" s="441"/>
      <c r="K113" s="441"/>
      <c r="L113" s="441"/>
      <c r="M113" s="441"/>
      <c r="N113" s="442"/>
      <c r="O113" s="415"/>
      <c r="P113" s="416"/>
      <c r="Q113" s="416"/>
      <c r="R113" s="416"/>
      <c r="S113" s="417"/>
      <c r="T113" s="418"/>
      <c r="U113" s="419"/>
    </row>
    <row r="114" spans="1:21" x14ac:dyDescent="0.2">
      <c r="A114" s="204">
        <f t="shared" si="1"/>
        <v>91</v>
      </c>
      <c r="B114" s="440"/>
      <c r="C114" s="441"/>
      <c r="D114" s="441"/>
      <c r="E114" s="441"/>
      <c r="F114" s="441"/>
      <c r="G114" s="441"/>
      <c r="H114" s="441"/>
      <c r="I114" s="441"/>
      <c r="J114" s="441"/>
      <c r="K114" s="441"/>
      <c r="L114" s="441"/>
      <c r="M114" s="441"/>
      <c r="N114" s="442"/>
      <c r="O114" s="415"/>
      <c r="P114" s="416"/>
      <c r="Q114" s="416"/>
      <c r="R114" s="416"/>
      <c r="S114" s="417"/>
      <c r="T114" s="418"/>
      <c r="U114" s="419"/>
    </row>
    <row r="115" spans="1:21" x14ac:dyDescent="0.2">
      <c r="A115" s="204">
        <f t="shared" si="1"/>
        <v>92</v>
      </c>
      <c r="B115" s="440"/>
      <c r="C115" s="441"/>
      <c r="D115" s="441"/>
      <c r="E115" s="441"/>
      <c r="F115" s="441"/>
      <c r="G115" s="441"/>
      <c r="H115" s="441"/>
      <c r="I115" s="441"/>
      <c r="J115" s="441"/>
      <c r="K115" s="441"/>
      <c r="L115" s="441"/>
      <c r="M115" s="441"/>
      <c r="N115" s="442"/>
      <c r="O115" s="415"/>
      <c r="P115" s="416"/>
      <c r="Q115" s="416"/>
      <c r="R115" s="416"/>
      <c r="S115" s="417"/>
      <c r="T115" s="418"/>
      <c r="U115" s="419"/>
    </row>
    <row r="116" spans="1:21" x14ac:dyDescent="0.2">
      <c r="A116" s="204">
        <f t="shared" si="1"/>
        <v>93</v>
      </c>
      <c r="B116" s="440"/>
      <c r="C116" s="441"/>
      <c r="D116" s="441"/>
      <c r="E116" s="441"/>
      <c r="F116" s="441"/>
      <c r="G116" s="441"/>
      <c r="H116" s="441"/>
      <c r="I116" s="441"/>
      <c r="J116" s="441"/>
      <c r="K116" s="441"/>
      <c r="L116" s="441"/>
      <c r="M116" s="441"/>
      <c r="N116" s="442"/>
      <c r="O116" s="415"/>
      <c r="P116" s="416"/>
      <c r="Q116" s="416"/>
      <c r="R116" s="416"/>
      <c r="S116" s="417"/>
      <c r="T116" s="418"/>
      <c r="U116" s="419"/>
    </row>
    <row r="117" spans="1:21" x14ac:dyDescent="0.2">
      <c r="A117" s="204">
        <f t="shared" si="1"/>
        <v>94</v>
      </c>
      <c r="B117" s="440"/>
      <c r="C117" s="441"/>
      <c r="D117" s="441"/>
      <c r="E117" s="441"/>
      <c r="F117" s="441"/>
      <c r="G117" s="441"/>
      <c r="H117" s="441"/>
      <c r="I117" s="441"/>
      <c r="J117" s="441"/>
      <c r="K117" s="441"/>
      <c r="L117" s="441"/>
      <c r="M117" s="441"/>
      <c r="N117" s="442"/>
      <c r="O117" s="415"/>
      <c r="P117" s="416"/>
      <c r="Q117" s="416"/>
      <c r="R117" s="416"/>
      <c r="S117" s="417"/>
      <c r="T117" s="418"/>
      <c r="U117" s="419"/>
    </row>
    <row r="118" spans="1:21" x14ac:dyDescent="0.2">
      <c r="A118" s="204">
        <f t="shared" si="1"/>
        <v>95</v>
      </c>
      <c r="B118" s="440"/>
      <c r="C118" s="441"/>
      <c r="D118" s="441"/>
      <c r="E118" s="441"/>
      <c r="F118" s="441"/>
      <c r="G118" s="441"/>
      <c r="H118" s="441"/>
      <c r="I118" s="441"/>
      <c r="J118" s="441"/>
      <c r="K118" s="441"/>
      <c r="L118" s="441"/>
      <c r="M118" s="441"/>
      <c r="N118" s="442"/>
      <c r="O118" s="415"/>
      <c r="P118" s="416"/>
      <c r="Q118" s="416"/>
      <c r="R118" s="416"/>
      <c r="S118" s="417"/>
      <c r="T118" s="418"/>
      <c r="U118" s="419"/>
    </row>
    <row r="119" spans="1:21" x14ac:dyDescent="0.2">
      <c r="A119" s="204">
        <f t="shared" si="1"/>
        <v>96</v>
      </c>
      <c r="B119" s="440"/>
      <c r="C119" s="441"/>
      <c r="D119" s="441"/>
      <c r="E119" s="441"/>
      <c r="F119" s="441"/>
      <c r="G119" s="441"/>
      <c r="H119" s="441"/>
      <c r="I119" s="441"/>
      <c r="J119" s="441"/>
      <c r="K119" s="441"/>
      <c r="L119" s="441"/>
      <c r="M119" s="441"/>
      <c r="N119" s="442"/>
      <c r="O119" s="415"/>
      <c r="P119" s="416"/>
      <c r="Q119" s="416"/>
      <c r="R119" s="416"/>
      <c r="S119" s="417"/>
      <c r="T119" s="418"/>
      <c r="U119" s="419"/>
    </row>
    <row r="120" spans="1:21" x14ac:dyDescent="0.2">
      <c r="A120" s="204">
        <f t="shared" si="1"/>
        <v>97</v>
      </c>
      <c r="B120" s="440"/>
      <c r="C120" s="441"/>
      <c r="D120" s="441"/>
      <c r="E120" s="441"/>
      <c r="F120" s="441"/>
      <c r="G120" s="441"/>
      <c r="H120" s="441"/>
      <c r="I120" s="441"/>
      <c r="J120" s="441"/>
      <c r="K120" s="441"/>
      <c r="L120" s="441"/>
      <c r="M120" s="441"/>
      <c r="N120" s="442"/>
      <c r="O120" s="415"/>
      <c r="P120" s="416"/>
      <c r="Q120" s="416"/>
      <c r="R120" s="416"/>
      <c r="S120" s="417"/>
      <c r="T120" s="418"/>
      <c r="U120" s="419"/>
    </row>
    <row r="121" spans="1:21" x14ac:dyDescent="0.2">
      <c r="A121" s="204">
        <f t="shared" si="1"/>
        <v>98</v>
      </c>
      <c r="B121" s="440"/>
      <c r="C121" s="441"/>
      <c r="D121" s="441"/>
      <c r="E121" s="441"/>
      <c r="F121" s="441"/>
      <c r="G121" s="441"/>
      <c r="H121" s="441"/>
      <c r="I121" s="441"/>
      <c r="J121" s="441"/>
      <c r="K121" s="441"/>
      <c r="L121" s="441"/>
      <c r="M121" s="441"/>
      <c r="N121" s="442"/>
      <c r="O121" s="415"/>
      <c r="P121" s="416"/>
      <c r="Q121" s="416"/>
      <c r="R121" s="416"/>
      <c r="S121" s="417"/>
      <c r="T121" s="418"/>
      <c r="U121" s="419"/>
    </row>
    <row r="122" spans="1:21" x14ac:dyDescent="0.2">
      <c r="A122" s="204">
        <f t="shared" si="1"/>
        <v>99</v>
      </c>
      <c r="B122" s="440"/>
      <c r="C122" s="441"/>
      <c r="D122" s="441"/>
      <c r="E122" s="441"/>
      <c r="F122" s="441"/>
      <c r="G122" s="441"/>
      <c r="H122" s="441"/>
      <c r="I122" s="441"/>
      <c r="J122" s="441"/>
      <c r="K122" s="441"/>
      <c r="L122" s="441"/>
      <c r="M122" s="441"/>
      <c r="N122" s="442"/>
      <c r="O122" s="415"/>
      <c r="P122" s="416"/>
      <c r="Q122" s="416"/>
      <c r="R122" s="416"/>
      <c r="S122" s="417"/>
      <c r="T122" s="418"/>
      <c r="U122" s="419"/>
    </row>
    <row r="123" spans="1:21" x14ac:dyDescent="0.2">
      <c r="A123" s="204">
        <f t="shared" si="1"/>
        <v>100</v>
      </c>
      <c r="B123" s="440"/>
      <c r="C123" s="441"/>
      <c r="D123" s="441"/>
      <c r="E123" s="441"/>
      <c r="F123" s="441"/>
      <c r="G123" s="441"/>
      <c r="H123" s="441"/>
      <c r="I123" s="441"/>
      <c r="J123" s="441"/>
      <c r="K123" s="441"/>
      <c r="L123" s="441"/>
      <c r="M123" s="441"/>
      <c r="N123" s="442"/>
      <c r="O123" s="415"/>
      <c r="P123" s="416"/>
      <c r="Q123" s="416"/>
      <c r="R123" s="416"/>
      <c r="S123" s="417"/>
      <c r="T123" s="418"/>
      <c r="U123" s="419"/>
    </row>
    <row r="124" spans="1:21" x14ac:dyDescent="0.2">
      <c r="A124" s="204">
        <f t="shared" si="1"/>
        <v>101</v>
      </c>
      <c r="B124" s="440"/>
      <c r="C124" s="441"/>
      <c r="D124" s="441"/>
      <c r="E124" s="441"/>
      <c r="F124" s="441"/>
      <c r="G124" s="441"/>
      <c r="H124" s="441"/>
      <c r="I124" s="441"/>
      <c r="J124" s="441"/>
      <c r="K124" s="441"/>
      <c r="L124" s="441"/>
      <c r="M124" s="441"/>
      <c r="N124" s="442"/>
      <c r="O124" s="415"/>
      <c r="P124" s="416"/>
      <c r="Q124" s="416"/>
      <c r="R124" s="416"/>
      <c r="S124" s="417"/>
      <c r="T124" s="418"/>
      <c r="U124" s="419"/>
    </row>
    <row r="125" spans="1:21" x14ac:dyDescent="0.2">
      <c r="A125" s="204">
        <f t="shared" si="1"/>
        <v>102</v>
      </c>
      <c r="B125" s="440"/>
      <c r="C125" s="441"/>
      <c r="D125" s="441"/>
      <c r="E125" s="441"/>
      <c r="F125" s="441"/>
      <c r="G125" s="441"/>
      <c r="H125" s="441"/>
      <c r="I125" s="441"/>
      <c r="J125" s="441"/>
      <c r="K125" s="441"/>
      <c r="L125" s="441"/>
      <c r="M125" s="441"/>
      <c r="N125" s="442"/>
      <c r="O125" s="415"/>
      <c r="P125" s="416"/>
      <c r="Q125" s="416"/>
      <c r="R125" s="416"/>
      <c r="S125" s="417"/>
      <c r="T125" s="418"/>
      <c r="U125" s="419"/>
    </row>
    <row r="126" spans="1:21" x14ac:dyDescent="0.2">
      <c r="A126" s="204">
        <f t="shared" si="1"/>
        <v>103</v>
      </c>
      <c r="B126" s="440"/>
      <c r="C126" s="441"/>
      <c r="D126" s="441"/>
      <c r="E126" s="441"/>
      <c r="F126" s="441"/>
      <c r="G126" s="441"/>
      <c r="H126" s="441"/>
      <c r="I126" s="441"/>
      <c r="J126" s="441"/>
      <c r="K126" s="441"/>
      <c r="L126" s="441"/>
      <c r="M126" s="441"/>
      <c r="N126" s="442"/>
      <c r="O126" s="415"/>
      <c r="P126" s="416"/>
      <c r="Q126" s="416"/>
      <c r="R126" s="416"/>
      <c r="S126" s="417"/>
      <c r="T126" s="418"/>
      <c r="U126" s="419"/>
    </row>
    <row r="127" spans="1:21" x14ac:dyDescent="0.2">
      <c r="A127" s="204">
        <f t="shared" si="1"/>
        <v>104</v>
      </c>
      <c r="B127" s="443"/>
      <c r="C127" s="444"/>
      <c r="D127" s="444"/>
      <c r="E127" s="444"/>
      <c r="F127" s="444"/>
      <c r="G127" s="444"/>
      <c r="H127" s="444"/>
      <c r="I127" s="444"/>
      <c r="J127" s="444"/>
      <c r="K127" s="444"/>
      <c r="L127" s="444"/>
      <c r="M127" s="444"/>
      <c r="N127" s="445"/>
      <c r="O127" s="446"/>
      <c r="P127" s="447"/>
      <c r="Q127" s="447"/>
      <c r="R127" s="447"/>
      <c r="S127" s="448"/>
      <c r="T127" s="449"/>
      <c r="U127" s="450"/>
    </row>
    <row r="128" spans="1:21" x14ac:dyDescent="0.2">
      <c r="A128" s="204">
        <f t="shared" si="1"/>
        <v>105</v>
      </c>
      <c r="B128" s="451"/>
      <c r="C128" s="451"/>
      <c r="D128" s="451"/>
      <c r="E128" s="451"/>
      <c r="F128" s="451"/>
      <c r="G128" s="451"/>
      <c r="H128" s="451"/>
      <c r="I128" s="451"/>
      <c r="J128" s="451"/>
      <c r="K128" s="451"/>
      <c r="L128" s="451"/>
      <c r="M128" s="451"/>
      <c r="N128" s="451"/>
      <c r="O128" s="453"/>
      <c r="P128" s="453"/>
      <c r="Q128" s="453"/>
      <c r="R128" s="453"/>
      <c r="S128" s="453"/>
      <c r="T128" s="453"/>
      <c r="U128" s="453"/>
    </row>
    <row r="129" spans="1:21" x14ac:dyDescent="0.2">
      <c r="A129" s="204">
        <f t="shared" si="1"/>
        <v>106</v>
      </c>
      <c r="B129" s="451"/>
      <c r="C129" s="451"/>
      <c r="D129" s="451"/>
      <c r="E129" s="451"/>
      <c r="F129" s="451"/>
      <c r="G129" s="451"/>
      <c r="H129" s="451"/>
      <c r="I129" s="451"/>
      <c r="J129" s="451"/>
      <c r="K129" s="451"/>
      <c r="L129" s="451"/>
      <c r="M129" s="451"/>
      <c r="N129" s="451"/>
      <c r="O129" s="452"/>
      <c r="P129" s="452"/>
      <c r="Q129" s="452"/>
      <c r="R129" s="452"/>
      <c r="S129" s="452"/>
      <c r="T129" s="452"/>
      <c r="U129" s="452"/>
    </row>
    <row r="130" spans="1:21" x14ac:dyDescent="0.2">
      <c r="A130" s="204">
        <f t="shared" si="1"/>
        <v>107</v>
      </c>
      <c r="B130" s="451"/>
      <c r="C130" s="451"/>
      <c r="D130" s="451"/>
      <c r="E130" s="451"/>
      <c r="F130" s="451"/>
      <c r="G130" s="451"/>
      <c r="H130" s="451"/>
      <c r="I130" s="451"/>
      <c r="J130" s="451"/>
      <c r="K130" s="451"/>
      <c r="L130" s="451"/>
      <c r="M130" s="451"/>
      <c r="N130" s="451"/>
      <c r="O130" s="452"/>
      <c r="P130" s="452"/>
      <c r="Q130" s="452"/>
      <c r="R130" s="452"/>
      <c r="S130" s="452"/>
      <c r="T130" s="452"/>
      <c r="U130" s="452"/>
    </row>
    <row r="131" spans="1:21" x14ac:dyDescent="0.2">
      <c r="A131" s="204">
        <f t="shared" si="1"/>
        <v>108</v>
      </c>
      <c r="B131" s="451"/>
      <c r="C131" s="451"/>
      <c r="D131" s="451"/>
      <c r="E131" s="451"/>
      <c r="F131" s="451"/>
      <c r="G131" s="451"/>
      <c r="H131" s="451"/>
      <c r="I131" s="451"/>
      <c r="J131" s="451"/>
      <c r="K131" s="451"/>
      <c r="L131" s="451"/>
      <c r="M131" s="451"/>
      <c r="N131" s="451"/>
      <c r="O131" s="452"/>
      <c r="P131" s="452"/>
      <c r="Q131" s="452"/>
      <c r="R131" s="452"/>
      <c r="S131" s="452"/>
      <c r="T131" s="452"/>
      <c r="U131" s="452"/>
    </row>
    <row r="132" spans="1:21" x14ac:dyDescent="0.2">
      <c r="A132" s="204">
        <f t="shared" si="1"/>
        <v>109</v>
      </c>
      <c r="B132" s="451"/>
      <c r="C132" s="451"/>
      <c r="D132" s="451"/>
      <c r="E132" s="451"/>
      <c r="F132" s="451"/>
      <c r="G132" s="451"/>
      <c r="H132" s="451"/>
      <c r="I132" s="451"/>
      <c r="J132" s="451"/>
      <c r="K132" s="451"/>
      <c r="L132" s="451"/>
      <c r="M132" s="451"/>
      <c r="N132" s="451"/>
      <c r="O132" s="452"/>
      <c r="P132" s="452"/>
      <c r="Q132" s="452"/>
      <c r="R132" s="452"/>
      <c r="S132" s="452"/>
      <c r="T132" s="452"/>
      <c r="U132" s="452"/>
    </row>
    <row r="133" spans="1:21" x14ac:dyDescent="0.2">
      <c r="A133" s="204">
        <f t="shared" si="1"/>
        <v>110</v>
      </c>
      <c r="B133" s="451"/>
      <c r="C133" s="451"/>
      <c r="D133" s="451"/>
      <c r="E133" s="451"/>
      <c r="F133" s="451"/>
      <c r="G133" s="451"/>
      <c r="H133" s="451"/>
      <c r="I133" s="451"/>
      <c r="J133" s="451"/>
      <c r="K133" s="451"/>
      <c r="L133" s="451"/>
      <c r="M133" s="451"/>
      <c r="N133" s="451"/>
      <c r="O133" s="452"/>
      <c r="P133" s="452"/>
      <c r="Q133" s="452"/>
      <c r="R133" s="452"/>
      <c r="S133" s="452"/>
      <c r="T133" s="452"/>
      <c r="U133" s="452"/>
    </row>
    <row r="134" spans="1:21" x14ac:dyDescent="0.2">
      <c r="A134" s="204">
        <f t="shared" si="1"/>
        <v>111</v>
      </c>
      <c r="B134" s="451"/>
      <c r="C134" s="451"/>
      <c r="D134" s="451"/>
      <c r="E134" s="451"/>
      <c r="F134" s="451"/>
      <c r="G134" s="451"/>
      <c r="H134" s="451"/>
      <c r="I134" s="451"/>
      <c r="J134" s="451"/>
      <c r="K134" s="451"/>
      <c r="L134" s="451"/>
      <c r="M134" s="451"/>
      <c r="N134" s="451"/>
      <c r="O134" s="452"/>
      <c r="P134" s="452"/>
      <c r="Q134" s="452"/>
      <c r="R134" s="452"/>
      <c r="S134" s="452"/>
      <c r="T134" s="452"/>
      <c r="U134" s="452"/>
    </row>
    <row r="135" spans="1:21" x14ac:dyDescent="0.2">
      <c r="A135" s="204">
        <f t="shared" si="1"/>
        <v>112</v>
      </c>
      <c r="B135" s="451"/>
      <c r="C135" s="451"/>
      <c r="D135" s="451"/>
      <c r="E135" s="451"/>
      <c r="F135" s="451"/>
      <c r="G135" s="451"/>
      <c r="H135" s="451"/>
      <c r="I135" s="451"/>
      <c r="J135" s="451"/>
      <c r="K135" s="451"/>
      <c r="L135" s="451"/>
      <c r="M135" s="451"/>
      <c r="N135" s="451"/>
      <c r="O135" s="452"/>
      <c r="P135" s="452"/>
      <c r="Q135" s="452"/>
      <c r="R135" s="452"/>
      <c r="S135" s="452"/>
      <c r="T135" s="452"/>
      <c r="U135" s="452"/>
    </row>
    <row r="136" spans="1:21" x14ac:dyDescent="0.2">
      <c r="A136" s="204">
        <f t="shared" si="1"/>
        <v>113</v>
      </c>
      <c r="B136" s="451"/>
      <c r="C136" s="451"/>
      <c r="D136" s="451"/>
      <c r="E136" s="451"/>
      <c r="F136" s="451"/>
      <c r="G136" s="451"/>
      <c r="H136" s="451"/>
      <c r="I136" s="451"/>
      <c r="J136" s="451"/>
      <c r="K136" s="451"/>
      <c r="L136" s="451"/>
      <c r="M136" s="451"/>
      <c r="N136" s="451"/>
      <c r="O136" s="452"/>
      <c r="P136" s="452"/>
      <c r="Q136" s="452"/>
      <c r="R136" s="452"/>
      <c r="S136" s="452"/>
      <c r="T136" s="452"/>
      <c r="U136" s="452"/>
    </row>
    <row r="137" spans="1:21" x14ac:dyDescent="0.2">
      <c r="A137" s="204">
        <f t="shared" si="1"/>
        <v>114</v>
      </c>
      <c r="B137" s="451"/>
      <c r="C137" s="451"/>
      <c r="D137" s="451"/>
      <c r="E137" s="451"/>
      <c r="F137" s="451"/>
      <c r="G137" s="451"/>
      <c r="H137" s="451"/>
      <c r="I137" s="451"/>
      <c r="J137" s="451"/>
      <c r="K137" s="451"/>
      <c r="L137" s="451"/>
      <c r="M137" s="451"/>
      <c r="N137" s="451"/>
      <c r="O137" s="452"/>
      <c r="P137" s="452"/>
      <c r="Q137" s="452"/>
      <c r="R137" s="452"/>
      <c r="S137" s="452"/>
      <c r="T137" s="452"/>
      <c r="U137" s="452"/>
    </row>
    <row r="138" spans="1:21" x14ac:dyDescent="0.2">
      <c r="A138" s="204">
        <f t="shared" si="1"/>
        <v>115</v>
      </c>
      <c r="B138" s="451"/>
      <c r="C138" s="451"/>
      <c r="D138" s="451"/>
      <c r="E138" s="451"/>
      <c r="F138" s="451"/>
      <c r="G138" s="451"/>
      <c r="H138" s="451"/>
      <c r="I138" s="451"/>
      <c r="J138" s="451"/>
      <c r="K138" s="451"/>
      <c r="L138" s="451"/>
      <c r="M138" s="451"/>
      <c r="N138" s="451"/>
      <c r="O138" s="452"/>
      <c r="P138" s="452"/>
      <c r="Q138" s="452"/>
      <c r="R138" s="452"/>
      <c r="S138" s="452"/>
      <c r="T138" s="452"/>
      <c r="U138" s="452"/>
    </row>
    <row r="139" spans="1:21" x14ac:dyDescent="0.2">
      <c r="A139" s="204">
        <f t="shared" si="1"/>
        <v>116</v>
      </c>
      <c r="B139" s="451"/>
      <c r="C139" s="451"/>
      <c r="D139" s="451"/>
      <c r="E139" s="451"/>
      <c r="F139" s="451"/>
      <c r="G139" s="451"/>
      <c r="H139" s="451"/>
      <c r="I139" s="451"/>
      <c r="J139" s="451"/>
      <c r="K139" s="451"/>
      <c r="L139" s="451"/>
      <c r="M139" s="451"/>
      <c r="N139" s="451"/>
      <c r="O139" s="452"/>
      <c r="P139" s="452"/>
      <c r="Q139" s="452"/>
      <c r="R139" s="452"/>
      <c r="S139" s="452"/>
      <c r="T139" s="452"/>
      <c r="U139" s="452"/>
    </row>
    <row r="140" spans="1:21" x14ac:dyDescent="0.2">
      <c r="A140" s="204">
        <f t="shared" si="1"/>
        <v>117</v>
      </c>
      <c r="B140" s="451"/>
      <c r="C140" s="451"/>
      <c r="D140" s="451"/>
      <c r="E140" s="451"/>
      <c r="F140" s="451"/>
      <c r="G140" s="451"/>
      <c r="H140" s="451"/>
      <c r="I140" s="451"/>
      <c r="J140" s="451"/>
      <c r="K140" s="451"/>
      <c r="L140" s="451"/>
      <c r="M140" s="451"/>
      <c r="N140" s="451"/>
      <c r="O140" s="452"/>
      <c r="P140" s="452"/>
      <c r="Q140" s="452"/>
      <c r="R140" s="452"/>
      <c r="S140" s="452"/>
      <c r="T140" s="452"/>
      <c r="U140" s="452"/>
    </row>
    <row r="141" spans="1:21" x14ac:dyDescent="0.2">
      <c r="A141" s="204">
        <f t="shared" si="1"/>
        <v>118</v>
      </c>
      <c r="B141" s="451"/>
      <c r="C141" s="451"/>
      <c r="D141" s="451"/>
      <c r="E141" s="451"/>
      <c r="F141" s="451"/>
      <c r="G141" s="451"/>
      <c r="H141" s="451"/>
      <c r="I141" s="451"/>
      <c r="J141" s="451"/>
      <c r="K141" s="451"/>
      <c r="L141" s="451"/>
      <c r="M141" s="451"/>
      <c r="N141" s="451"/>
      <c r="O141" s="452"/>
      <c r="P141" s="452"/>
      <c r="Q141" s="452"/>
      <c r="R141" s="452"/>
      <c r="S141" s="452"/>
      <c r="T141" s="452"/>
      <c r="U141" s="452"/>
    </row>
    <row r="142" spans="1:21" x14ac:dyDescent="0.2">
      <c r="A142" s="204">
        <f t="shared" si="1"/>
        <v>119</v>
      </c>
      <c r="B142" s="451"/>
      <c r="C142" s="451"/>
      <c r="D142" s="451"/>
      <c r="E142" s="451"/>
      <c r="F142" s="451"/>
      <c r="G142" s="451"/>
      <c r="H142" s="451"/>
      <c r="I142" s="451"/>
      <c r="J142" s="451"/>
      <c r="K142" s="451"/>
      <c r="L142" s="451"/>
      <c r="M142" s="451"/>
      <c r="N142" s="451"/>
      <c r="O142" s="452"/>
      <c r="P142" s="452"/>
      <c r="Q142" s="452"/>
      <c r="R142" s="452"/>
      <c r="S142" s="452"/>
      <c r="T142" s="452"/>
      <c r="U142" s="452"/>
    </row>
    <row r="143" spans="1:21" x14ac:dyDescent="0.2">
      <c r="A143" s="204">
        <f t="shared" si="1"/>
        <v>120</v>
      </c>
      <c r="B143" s="451"/>
      <c r="C143" s="451"/>
      <c r="D143" s="451"/>
      <c r="E143" s="451"/>
      <c r="F143" s="451"/>
      <c r="G143" s="451"/>
      <c r="H143" s="451"/>
      <c r="I143" s="451"/>
      <c r="J143" s="451"/>
      <c r="K143" s="451"/>
      <c r="L143" s="451"/>
      <c r="M143" s="451"/>
      <c r="N143" s="451"/>
      <c r="O143" s="452"/>
      <c r="P143" s="452"/>
      <c r="Q143" s="452"/>
      <c r="R143" s="452"/>
      <c r="S143" s="452"/>
      <c r="T143" s="452"/>
      <c r="U143" s="452"/>
    </row>
    <row r="144" spans="1:21" x14ac:dyDescent="0.2">
      <c r="A144" s="204">
        <f t="shared" si="1"/>
        <v>121</v>
      </c>
      <c r="B144" s="451"/>
      <c r="C144" s="451"/>
      <c r="D144" s="451"/>
      <c r="E144" s="451"/>
      <c r="F144" s="451"/>
      <c r="G144" s="451"/>
      <c r="H144" s="451"/>
      <c r="I144" s="451"/>
      <c r="J144" s="451"/>
      <c r="K144" s="451"/>
      <c r="L144" s="451"/>
      <c r="M144" s="451"/>
      <c r="N144" s="451"/>
      <c r="O144" s="452"/>
      <c r="P144" s="452"/>
      <c r="Q144" s="452"/>
      <c r="R144" s="452"/>
      <c r="S144" s="452"/>
      <c r="T144" s="452"/>
      <c r="U144" s="452"/>
    </row>
    <row r="145" spans="1:21" x14ac:dyDescent="0.2">
      <c r="A145" s="204">
        <f t="shared" si="1"/>
        <v>122</v>
      </c>
      <c r="B145" s="451"/>
      <c r="C145" s="451"/>
      <c r="D145" s="451"/>
      <c r="E145" s="451"/>
      <c r="F145" s="451"/>
      <c r="G145" s="451"/>
      <c r="H145" s="451"/>
      <c r="I145" s="451"/>
      <c r="J145" s="451"/>
      <c r="K145" s="451"/>
      <c r="L145" s="451"/>
      <c r="M145" s="451"/>
      <c r="N145" s="451"/>
      <c r="O145" s="452"/>
      <c r="P145" s="452"/>
      <c r="Q145" s="452"/>
      <c r="R145" s="452"/>
      <c r="S145" s="452"/>
      <c r="T145" s="452"/>
      <c r="U145" s="452"/>
    </row>
    <row r="146" spans="1:21" x14ac:dyDescent="0.2">
      <c r="A146" s="204">
        <f t="shared" si="1"/>
        <v>123</v>
      </c>
      <c r="B146" s="451"/>
      <c r="C146" s="451"/>
      <c r="D146" s="451"/>
      <c r="E146" s="451"/>
      <c r="F146" s="451"/>
      <c r="G146" s="451"/>
      <c r="H146" s="451"/>
      <c r="I146" s="451"/>
      <c r="J146" s="451"/>
      <c r="K146" s="451"/>
      <c r="L146" s="451"/>
      <c r="M146" s="451"/>
      <c r="N146" s="451"/>
      <c r="O146" s="452"/>
      <c r="P146" s="452"/>
      <c r="Q146" s="452"/>
      <c r="R146" s="452"/>
      <c r="S146" s="452"/>
      <c r="T146" s="452"/>
      <c r="U146" s="452"/>
    </row>
    <row r="147" spans="1:21" x14ac:dyDescent="0.2">
      <c r="A147" s="204">
        <f t="shared" si="1"/>
        <v>124</v>
      </c>
      <c r="B147" s="451"/>
      <c r="C147" s="451"/>
      <c r="D147" s="451"/>
      <c r="E147" s="451"/>
      <c r="F147" s="451"/>
      <c r="G147" s="451"/>
      <c r="H147" s="451"/>
      <c r="I147" s="451"/>
      <c r="J147" s="451"/>
      <c r="K147" s="451"/>
      <c r="L147" s="451"/>
      <c r="M147" s="451"/>
      <c r="N147" s="451"/>
      <c r="O147" s="452"/>
      <c r="P147" s="452"/>
      <c r="Q147" s="452"/>
      <c r="R147" s="452"/>
      <c r="S147" s="452"/>
      <c r="T147" s="452"/>
      <c r="U147" s="452"/>
    </row>
    <row r="148" spans="1:21" x14ac:dyDescent="0.2">
      <c r="A148" s="204">
        <f t="shared" si="1"/>
        <v>125</v>
      </c>
      <c r="B148" s="451"/>
      <c r="C148" s="451"/>
      <c r="D148" s="451"/>
      <c r="E148" s="451"/>
      <c r="F148" s="451"/>
      <c r="G148" s="451"/>
      <c r="H148" s="451"/>
      <c r="I148" s="451"/>
      <c r="J148" s="451"/>
      <c r="K148" s="451"/>
      <c r="L148" s="451"/>
      <c r="M148" s="451"/>
      <c r="N148" s="451"/>
      <c r="O148" s="452"/>
      <c r="P148" s="452"/>
      <c r="Q148" s="452"/>
      <c r="R148" s="452"/>
      <c r="S148" s="452"/>
      <c r="T148" s="452"/>
      <c r="U148" s="452"/>
    </row>
    <row r="149" spans="1:21" x14ac:dyDescent="0.2">
      <c r="A149" s="204">
        <f t="shared" si="1"/>
        <v>126</v>
      </c>
      <c r="B149" s="451"/>
      <c r="C149" s="451"/>
      <c r="D149" s="451"/>
      <c r="E149" s="451"/>
      <c r="F149" s="451"/>
      <c r="G149" s="451"/>
      <c r="H149" s="451"/>
      <c r="I149" s="451"/>
      <c r="J149" s="451"/>
      <c r="K149" s="451"/>
      <c r="L149" s="451"/>
      <c r="M149" s="451"/>
      <c r="N149" s="451"/>
      <c r="O149" s="452"/>
      <c r="P149" s="452"/>
      <c r="Q149" s="452"/>
      <c r="R149" s="452"/>
      <c r="S149" s="452"/>
      <c r="T149" s="452"/>
      <c r="U149" s="452"/>
    </row>
    <row r="150" spans="1:21" x14ac:dyDescent="0.2">
      <c r="A150" s="204">
        <f t="shared" si="1"/>
        <v>127</v>
      </c>
      <c r="B150" s="451"/>
      <c r="C150" s="451"/>
      <c r="D150" s="451"/>
      <c r="E150" s="451"/>
      <c r="F150" s="451"/>
      <c r="G150" s="451"/>
      <c r="H150" s="451"/>
      <c r="I150" s="451"/>
      <c r="J150" s="451"/>
      <c r="K150" s="451"/>
      <c r="L150" s="451"/>
      <c r="M150" s="451"/>
      <c r="N150" s="451"/>
      <c r="O150" s="452"/>
      <c r="P150" s="452"/>
      <c r="Q150" s="452"/>
      <c r="R150" s="452"/>
      <c r="S150" s="452"/>
      <c r="T150" s="452"/>
      <c r="U150" s="452"/>
    </row>
    <row r="151" spans="1:21" x14ac:dyDescent="0.2">
      <c r="A151" s="204">
        <f t="shared" si="1"/>
        <v>128</v>
      </c>
      <c r="B151" s="451"/>
      <c r="C151" s="451"/>
      <c r="D151" s="451"/>
      <c r="E151" s="451"/>
      <c r="F151" s="451"/>
      <c r="G151" s="451"/>
      <c r="H151" s="451"/>
      <c r="I151" s="451"/>
      <c r="J151" s="451"/>
      <c r="K151" s="451"/>
      <c r="L151" s="451"/>
      <c r="M151" s="451"/>
      <c r="N151" s="451"/>
      <c r="O151" s="452"/>
      <c r="P151" s="452"/>
      <c r="Q151" s="452"/>
      <c r="R151" s="452"/>
      <c r="S151" s="452"/>
      <c r="T151" s="452"/>
      <c r="U151" s="452"/>
    </row>
    <row r="152" spans="1:21" x14ac:dyDescent="0.2">
      <c r="A152" s="204">
        <f t="shared" si="1"/>
        <v>129</v>
      </c>
      <c r="B152" s="451"/>
      <c r="C152" s="451"/>
      <c r="D152" s="451"/>
      <c r="E152" s="451"/>
      <c r="F152" s="451"/>
      <c r="G152" s="451"/>
      <c r="H152" s="451"/>
      <c r="I152" s="451"/>
      <c r="J152" s="451"/>
      <c r="K152" s="451"/>
      <c r="L152" s="451"/>
      <c r="M152" s="451"/>
      <c r="N152" s="451"/>
      <c r="O152" s="452"/>
      <c r="P152" s="452"/>
      <c r="Q152" s="452"/>
      <c r="R152" s="452"/>
      <c r="S152" s="452"/>
      <c r="T152" s="452"/>
      <c r="U152" s="452"/>
    </row>
    <row r="153" spans="1:21" x14ac:dyDescent="0.2">
      <c r="A153" s="204">
        <f t="shared" ref="A153:A216" si="2">A152+1</f>
        <v>130</v>
      </c>
      <c r="B153" s="451"/>
      <c r="C153" s="451"/>
      <c r="D153" s="451"/>
      <c r="E153" s="451"/>
      <c r="F153" s="451"/>
      <c r="G153" s="451"/>
      <c r="H153" s="451"/>
      <c r="I153" s="451"/>
      <c r="J153" s="451"/>
      <c r="K153" s="451"/>
      <c r="L153" s="451"/>
      <c r="M153" s="451"/>
      <c r="N153" s="451"/>
      <c r="O153" s="452"/>
      <c r="P153" s="452"/>
      <c r="Q153" s="452"/>
      <c r="R153" s="452"/>
      <c r="S153" s="452"/>
      <c r="T153" s="452"/>
      <c r="U153" s="452"/>
    </row>
    <row r="154" spans="1:21" x14ac:dyDescent="0.2">
      <c r="A154" s="204">
        <f t="shared" si="2"/>
        <v>131</v>
      </c>
      <c r="B154" s="451"/>
      <c r="C154" s="451"/>
      <c r="D154" s="451"/>
      <c r="E154" s="451"/>
      <c r="F154" s="451"/>
      <c r="G154" s="451"/>
      <c r="H154" s="451"/>
      <c r="I154" s="451"/>
      <c r="J154" s="451"/>
      <c r="K154" s="451"/>
      <c r="L154" s="451"/>
      <c r="M154" s="451"/>
      <c r="N154" s="451"/>
      <c r="O154" s="452"/>
      <c r="P154" s="452"/>
      <c r="Q154" s="452"/>
      <c r="R154" s="452"/>
      <c r="S154" s="452"/>
      <c r="T154" s="452"/>
      <c r="U154" s="452"/>
    </row>
    <row r="155" spans="1:21" x14ac:dyDescent="0.2">
      <c r="A155" s="204">
        <f t="shared" si="2"/>
        <v>132</v>
      </c>
      <c r="B155" s="451"/>
      <c r="C155" s="451"/>
      <c r="D155" s="451"/>
      <c r="E155" s="451"/>
      <c r="F155" s="451"/>
      <c r="G155" s="451"/>
      <c r="H155" s="451"/>
      <c r="I155" s="451"/>
      <c r="J155" s="451"/>
      <c r="K155" s="451"/>
      <c r="L155" s="451"/>
      <c r="M155" s="451"/>
      <c r="N155" s="451"/>
      <c r="O155" s="452"/>
      <c r="P155" s="452"/>
      <c r="Q155" s="452"/>
      <c r="R155" s="452"/>
      <c r="S155" s="452"/>
      <c r="T155" s="452"/>
      <c r="U155" s="452"/>
    </row>
    <row r="156" spans="1:21" x14ac:dyDescent="0.2">
      <c r="A156" s="204">
        <f t="shared" si="2"/>
        <v>133</v>
      </c>
      <c r="B156" s="451"/>
      <c r="C156" s="451"/>
      <c r="D156" s="451"/>
      <c r="E156" s="451"/>
      <c r="F156" s="451"/>
      <c r="G156" s="451"/>
      <c r="H156" s="451"/>
      <c r="I156" s="451"/>
      <c r="J156" s="451"/>
      <c r="K156" s="451"/>
      <c r="L156" s="451"/>
      <c r="M156" s="451"/>
      <c r="N156" s="451"/>
      <c r="O156" s="452"/>
      <c r="P156" s="452"/>
      <c r="Q156" s="452"/>
      <c r="R156" s="452"/>
      <c r="S156" s="452"/>
      <c r="T156" s="452"/>
      <c r="U156" s="452"/>
    </row>
    <row r="157" spans="1:21" x14ac:dyDescent="0.2">
      <c r="A157" s="204">
        <f t="shared" si="2"/>
        <v>134</v>
      </c>
      <c r="B157" s="451"/>
      <c r="C157" s="451"/>
      <c r="D157" s="451"/>
      <c r="E157" s="451"/>
      <c r="F157" s="451"/>
      <c r="G157" s="451"/>
      <c r="H157" s="451"/>
      <c r="I157" s="451"/>
      <c r="J157" s="451"/>
      <c r="K157" s="451"/>
      <c r="L157" s="451"/>
      <c r="M157" s="451"/>
      <c r="N157" s="451"/>
      <c r="O157" s="452"/>
      <c r="P157" s="452"/>
      <c r="Q157" s="452"/>
      <c r="R157" s="452"/>
      <c r="S157" s="452"/>
      <c r="T157" s="452"/>
      <c r="U157" s="452"/>
    </row>
    <row r="158" spans="1:21" x14ac:dyDescent="0.2">
      <c r="A158" s="204">
        <f t="shared" si="2"/>
        <v>135</v>
      </c>
      <c r="B158" s="451"/>
      <c r="C158" s="451"/>
      <c r="D158" s="451"/>
      <c r="E158" s="451"/>
      <c r="F158" s="451"/>
      <c r="G158" s="451"/>
      <c r="H158" s="451"/>
      <c r="I158" s="451"/>
      <c r="J158" s="451"/>
      <c r="K158" s="451"/>
      <c r="L158" s="451"/>
      <c r="M158" s="451"/>
      <c r="N158" s="451"/>
      <c r="O158" s="452"/>
      <c r="P158" s="452"/>
      <c r="Q158" s="452"/>
      <c r="R158" s="452"/>
      <c r="S158" s="452"/>
      <c r="T158" s="452"/>
      <c r="U158" s="452"/>
    </row>
    <row r="159" spans="1:21" x14ac:dyDescent="0.2">
      <c r="A159" s="204">
        <f t="shared" si="2"/>
        <v>136</v>
      </c>
      <c r="B159" s="451"/>
      <c r="C159" s="451"/>
      <c r="D159" s="451"/>
      <c r="E159" s="451"/>
      <c r="F159" s="451"/>
      <c r="G159" s="451"/>
      <c r="H159" s="451"/>
      <c r="I159" s="451"/>
      <c r="J159" s="451"/>
      <c r="K159" s="451"/>
      <c r="L159" s="451"/>
      <c r="M159" s="451"/>
      <c r="N159" s="451"/>
      <c r="O159" s="452"/>
      <c r="P159" s="452"/>
      <c r="Q159" s="452"/>
      <c r="R159" s="452"/>
      <c r="S159" s="452"/>
      <c r="T159" s="452"/>
      <c r="U159" s="452"/>
    </row>
    <row r="160" spans="1:21" x14ac:dyDescent="0.2">
      <c r="A160" s="204">
        <f t="shared" si="2"/>
        <v>137</v>
      </c>
      <c r="B160" s="451"/>
      <c r="C160" s="451"/>
      <c r="D160" s="451"/>
      <c r="E160" s="451"/>
      <c r="F160" s="451"/>
      <c r="G160" s="451"/>
      <c r="H160" s="451"/>
      <c r="I160" s="451"/>
      <c r="J160" s="451"/>
      <c r="K160" s="451"/>
      <c r="L160" s="451"/>
      <c r="M160" s="451"/>
      <c r="N160" s="451"/>
      <c r="O160" s="452"/>
      <c r="P160" s="452"/>
      <c r="Q160" s="452"/>
      <c r="R160" s="452"/>
      <c r="S160" s="452"/>
      <c r="T160" s="452"/>
      <c r="U160" s="452"/>
    </row>
    <row r="161" spans="1:21" x14ac:dyDescent="0.2">
      <c r="A161" s="204">
        <f t="shared" si="2"/>
        <v>138</v>
      </c>
      <c r="B161" s="451"/>
      <c r="C161" s="451"/>
      <c r="D161" s="451"/>
      <c r="E161" s="451"/>
      <c r="F161" s="451"/>
      <c r="G161" s="451"/>
      <c r="H161" s="451"/>
      <c r="I161" s="451"/>
      <c r="J161" s="451"/>
      <c r="K161" s="451"/>
      <c r="L161" s="451"/>
      <c r="M161" s="451"/>
      <c r="N161" s="451"/>
      <c r="O161" s="452"/>
      <c r="P161" s="452"/>
      <c r="Q161" s="452"/>
      <c r="R161" s="452"/>
      <c r="S161" s="452"/>
      <c r="T161" s="452"/>
      <c r="U161" s="452"/>
    </row>
    <row r="162" spans="1:21" x14ac:dyDescent="0.2">
      <c r="A162" s="204">
        <f t="shared" si="2"/>
        <v>139</v>
      </c>
      <c r="B162" s="451"/>
      <c r="C162" s="451"/>
      <c r="D162" s="451"/>
      <c r="E162" s="451"/>
      <c r="F162" s="451"/>
      <c r="G162" s="451"/>
      <c r="H162" s="451"/>
      <c r="I162" s="451"/>
      <c r="J162" s="451"/>
      <c r="K162" s="451"/>
      <c r="L162" s="451"/>
      <c r="M162" s="451"/>
      <c r="N162" s="451"/>
      <c r="O162" s="452"/>
      <c r="P162" s="452"/>
      <c r="Q162" s="452"/>
      <c r="R162" s="452"/>
      <c r="S162" s="452"/>
      <c r="T162" s="452"/>
      <c r="U162" s="452"/>
    </row>
    <row r="163" spans="1:21" x14ac:dyDescent="0.2">
      <c r="A163" s="204">
        <f t="shared" si="2"/>
        <v>140</v>
      </c>
      <c r="B163" s="451"/>
      <c r="C163" s="451"/>
      <c r="D163" s="451"/>
      <c r="E163" s="451"/>
      <c r="F163" s="451"/>
      <c r="G163" s="451"/>
      <c r="H163" s="451"/>
      <c r="I163" s="451"/>
      <c r="J163" s="451"/>
      <c r="K163" s="451"/>
      <c r="L163" s="451"/>
      <c r="M163" s="451"/>
      <c r="N163" s="451"/>
      <c r="O163" s="452"/>
      <c r="P163" s="452"/>
      <c r="Q163" s="452"/>
      <c r="R163" s="452"/>
      <c r="S163" s="452"/>
      <c r="T163" s="452"/>
      <c r="U163" s="452"/>
    </row>
    <row r="164" spans="1:21" x14ac:dyDescent="0.2">
      <c r="A164" s="204">
        <f t="shared" si="2"/>
        <v>141</v>
      </c>
      <c r="B164" s="451"/>
      <c r="C164" s="451"/>
      <c r="D164" s="451"/>
      <c r="E164" s="451"/>
      <c r="F164" s="451"/>
      <c r="G164" s="451"/>
      <c r="H164" s="451"/>
      <c r="I164" s="451"/>
      <c r="J164" s="451"/>
      <c r="K164" s="451"/>
      <c r="L164" s="451"/>
      <c r="M164" s="451"/>
      <c r="N164" s="451"/>
      <c r="O164" s="452"/>
      <c r="P164" s="452"/>
      <c r="Q164" s="452"/>
      <c r="R164" s="452"/>
      <c r="S164" s="452"/>
      <c r="T164" s="452"/>
      <c r="U164" s="452"/>
    </row>
    <row r="165" spans="1:21" x14ac:dyDescent="0.2">
      <c r="A165" s="204">
        <f t="shared" si="2"/>
        <v>142</v>
      </c>
      <c r="B165" s="451"/>
      <c r="C165" s="451"/>
      <c r="D165" s="451"/>
      <c r="E165" s="451"/>
      <c r="F165" s="451"/>
      <c r="G165" s="451"/>
      <c r="H165" s="451"/>
      <c r="I165" s="451"/>
      <c r="J165" s="451"/>
      <c r="K165" s="451"/>
      <c r="L165" s="451"/>
      <c r="M165" s="451"/>
      <c r="N165" s="451"/>
      <c r="O165" s="452"/>
      <c r="P165" s="452"/>
      <c r="Q165" s="452"/>
      <c r="R165" s="452"/>
      <c r="S165" s="452"/>
      <c r="T165" s="452"/>
      <c r="U165" s="452"/>
    </row>
    <row r="166" spans="1:21" x14ac:dyDescent="0.2">
      <c r="A166" s="204">
        <f t="shared" si="2"/>
        <v>143</v>
      </c>
      <c r="B166" s="451"/>
      <c r="C166" s="451"/>
      <c r="D166" s="451"/>
      <c r="E166" s="451"/>
      <c r="F166" s="451"/>
      <c r="G166" s="451"/>
      <c r="H166" s="451"/>
      <c r="I166" s="451"/>
      <c r="J166" s="451"/>
      <c r="K166" s="451"/>
      <c r="L166" s="451"/>
      <c r="M166" s="451"/>
      <c r="N166" s="451"/>
      <c r="O166" s="452"/>
      <c r="P166" s="452"/>
      <c r="Q166" s="452"/>
      <c r="R166" s="452"/>
      <c r="S166" s="452"/>
      <c r="T166" s="452"/>
      <c r="U166" s="452"/>
    </row>
    <row r="167" spans="1:21" x14ac:dyDescent="0.2">
      <c r="A167" s="204">
        <f t="shared" si="2"/>
        <v>144</v>
      </c>
      <c r="B167" s="451"/>
      <c r="C167" s="451"/>
      <c r="D167" s="451"/>
      <c r="E167" s="451"/>
      <c r="F167" s="451"/>
      <c r="G167" s="451"/>
      <c r="H167" s="451"/>
      <c r="I167" s="451"/>
      <c r="J167" s="451"/>
      <c r="K167" s="451"/>
      <c r="L167" s="451"/>
      <c r="M167" s="451"/>
      <c r="N167" s="451"/>
      <c r="O167" s="452"/>
      <c r="P167" s="452"/>
      <c r="Q167" s="452"/>
      <c r="R167" s="452"/>
      <c r="S167" s="452"/>
      <c r="T167" s="452"/>
      <c r="U167" s="452"/>
    </row>
    <row r="168" spans="1:21" x14ac:dyDescent="0.2">
      <c r="A168" s="204">
        <f t="shared" si="2"/>
        <v>145</v>
      </c>
      <c r="B168" s="451"/>
      <c r="C168" s="451"/>
      <c r="D168" s="451"/>
      <c r="E168" s="451"/>
      <c r="F168" s="451"/>
      <c r="G168" s="451"/>
      <c r="H168" s="451"/>
      <c r="I168" s="451"/>
      <c r="J168" s="451"/>
      <c r="K168" s="451"/>
      <c r="L168" s="451"/>
      <c r="M168" s="451"/>
      <c r="N168" s="451"/>
      <c r="O168" s="452"/>
      <c r="P168" s="452"/>
      <c r="Q168" s="452"/>
      <c r="R168" s="452"/>
      <c r="S168" s="452"/>
      <c r="T168" s="452"/>
      <c r="U168" s="452"/>
    </row>
    <row r="169" spans="1:21" x14ac:dyDescent="0.2">
      <c r="A169" s="204">
        <f t="shared" si="2"/>
        <v>146</v>
      </c>
      <c r="B169" s="451"/>
      <c r="C169" s="451"/>
      <c r="D169" s="451"/>
      <c r="E169" s="451"/>
      <c r="F169" s="451"/>
      <c r="G169" s="451"/>
      <c r="H169" s="451"/>
      <c r="I169" s="451"/>
      <c r="J169" s="451"/>
      <c r="K169" s="451"/>
      <c r="L169" s="451"/>
      <c r="M169" s="451"/>
      <c r="N169" s="451"/>
      <c r="O169" s="452"/>
      <c r="P169" s="452"/>
      <c r="Q169" s="452"/>
      <c r="R169" s="452"/>
      <c r="S169" s="452"/>
      <c r="T169" s="452"/>
      <c r="U169" s="452"/>
    </row>
    <row r="170" spans="1:21" x14ac:dyDescent="0.2">
      <c r="A170" s="204">
        <f t="shared" si="2"/>
        <v>147</v>
      </c>
      <c r="B170" s="451"/>
      <c r="C170" s="451"/>
      <c r="D170" s="451"/>
      <c r="E170" s="451"/>
      <c r="F170" s="451"/>
      <c r="G170" s="451"/>
      <c r="H170" s="451"/>
      <c r="I170" s="451"/>
      <c r="J170" s="451"/>
      <c r="K170" s="451"/>
      <c r="L170" s="451"/>
      <c r="M170" s="451"/>
      <c r="N170" s="451"/>
      <c r="O170" s="452"/>
      <c r="P170" s="452"/>
      <c r="Q170" s="452"/>
      <c r="R170" s="452"/>
      <c r="S170" s="452"/>
      <c r="T170" s="452"/>
      <c r="U170" s="452"/>
    </row>
    <row r="171" spans="1:21" x14ac:dyDescent="0.2">
      <c r="A171" s="204">
        <f t="shared" si="2"/>
        <v>148</v>
      </c>
      <c r="B171" s="451"/>
      <c r="C171" s="451"/>
      <c r="D171" s="451"/>
      <c r="E171" s="451"/>
      <c r="F171" s="451"/>
      <c r="G171" s="451"/>
      <c r="H171" s="451"/>
      <c r="I171" s="451"/>
      <c r="J171" s="451"/>
      <c r="K171" s="451"/>
      <c r="L171" s="451"/>
      <c r="M171" s="451"/>
      <c r="N171" s="451"/>
      <c r="O171" s="452"/>
      <c r="P171" s="452"/>
      <c r="Q171" s="452"/>
      <c r="R171" s="452"/>
      <c r="S171" s="452"/>
      <c r="T171" s="452"/>
      <c r="U171" s="452"/>
    </row>
    <row r="172" spans="1:21" x14ac:dyDescent="0.2">
      <c r="A172" s="204">
        <f t="shared" si="2"/>
        <v>149</v>
      </c>
      <c r="B172" s="451"/>
      <c r="C172" s="451"/>
      <c r="D172" s="451"/>
      <c r="E172" s="451"/>
      <c r="F172" s="451"/>
      <c r="G172" s="451"/>
      <c r="H172" s="451"/>
      <c r="I172" s="451"/>
      <c r="J172" s="451"/>
      <c r="K172" s="451"/>
      <c r="L172" s="451"/>
      <c r="M172" s="451"/>
      <c r="N172" s="451"/>
      <c r="O172" s="452"/>
      <c r="P172" s="452"/>
      <c r="Q172" s="452"/>
      <c r="R172" s="452"/>
      <c r="S172" s="452"/>
      <c r="T172" s="452"/>
      <c r="U172" s="452"/>
    </row>
    <row r="173" spans="1:21" x14ac:dyDescent="0.2">
      <c r="A173" s="204">
        <f t="shared" si="2"/>
        <v>150</v>
      </c>
      <c r="B173" s="451"/>
      <c r="C173" s="451"/>
      <c r="D173" s="451"/>
      <c r="E173" s="451"/>
      <c r="F173" s="451"/>
      <c r="G173" s="451"/>
      <c r="H173" s="451"/>
      <c r="I173" s="451"/>
      <c r="J173" s="451"/>
      <c r="K173" s="451"/>
      <c r="L173" s="451"/>
      <c r="M173" s="451"/>
      <c r="N173" s="451"/>
      <c r="O173" s="452"/>
      <c r="P173" s="452"/>
      <c r="Q173" s="452"/>
      <c r="R173" s="452"/>
      <c r="S173" s="452"/>
      <c r="T173" s="452"/>
      <c r="U173" s="452"/>
    </row>
    <row r="174" spans="1:21" x14ac:dyDescent="0.2">
      <c r="A174" s="204">
        <f t="shared" si="2"/>
        <v>151</v>
      </c>
      <c r="B174" s="451"/>
      <c r="C174" s="451"/>
      <c r="D174" s="451"/>
      <c r="E174" s="451"/>
      <c r="F174" s="451"/>
      <c r="G174" s="451"/>
      <c r="H174" s="451"/>
      <c r="I174" s="451"/>
      <c r="J174" s="451"/>
      <c r="K174" s="451"/>
      <c r="L174" s="451"/>
      <c r="M174" s="451"/>
      <c r="N174" s="451"/>
      <c r="O174" s="452"/>
      <c r="P174" s="452"/>
      <c r="Q174" s="452"/>
      <c r="R174" s="452"/>
      <c r="S174" s="452"/>
      <c r="T174" s="452"/>
      <c r="U174" s="452"/>
    </row>
    <row r="175" spans="1:21" x14ac:dyDescent="0.2">
      <c r="A175" s="204">
        <f t="shared" si="2"/>
        <v>152</v>
      </c>
      <c r="B175" s="451"/>
      <c r="C175" s="451"/>
      <c r="D175" s="451"/>
      <c r="E175" s="451"/>
      <c r="F175" s="451"/>
      <c r="G175" s="451"/>
      <c r="H175" s="451"/>
      <c r="I175" s="451"/>
      <c r="J175" s="451"/>
      <c r="K175" s="451"/>
      <c r="L175" s="451"/>
      <c r="M175" s="451"/>
      <c r="N175" s="451"/>
      <c r="O175" s="452"/>
      <c r="P175" s="452"/>
      <c r="Q175" s="452"/>
      <c r="R175" s="452"/>
      <c r="S175" s="452"/>
      <c r="T175" s="452"/>
      <c r="U175" s="452"/>
    </row>
    <row r="176" spans="1:21" x14ac:dyDescent="0.2">
      <c r="A176" s="204">
        <f t="shared" si="2"/>
        <v>153</v>
      </c>
      <c r="B176" s="451"/>
      <c r="C176" s="451"/>
      <c r="D176" s="451"/>
      <c r="E176" s="451"/>
      <c r="F176" s="451"/>
      <c r="G176" s="451"/>
      <c r="H176" s="451"/>
      <c r="I176" s="451"/>
      <c r="J176" s="451"/>
      <c r="K176" s="451"/>
      <c r="L176" s="451"/>
      <c r="M176" s="451"/>
      <c r="N176" s="451"/>
      <c r="O176" s="452"/>
      <c r="P176" s="452"/>
      <c r="Q176" s="452"/>
      <c r="R176" s="452"/>
      <c r="S176" s="452"/>
      <c r="T176" s="452"/>
      <c r="U176" s="452"/>
    </row>
    <row r="177" spans="1:21" x14ac:dyDescent="0.2">
      <c r="A177" s="204">
        <f t="shared" si="2"/>
        <v>154</v>
      </c>
      <c r="B177" s="451"/>
      <c r="C177" s="451"/>
      <c r="D177" s="451"/>
      <c r="E177" s="451"/>
      <c r="F177" s="451"/>
      <c r="G177" s="451"/>
      <c r="H177" s="451"/>
      <c r="I177" s="451"/>
      <c r="J177" s="451"/>
      <c r="K177" s="451"/>
      <c r="L177" s="451"/>
      <c r="M177" s="451"/>
      <c r="N177" s="451"/>
      <c r="O177" s="452"/>
      <c r="P177" s="452"/>
      <c r="Q177" s="452"/>
      <c r="R177" s="452"/>
      <c r="S177" s="452"/>
      <c r="T177" s="452"/>
      <c r="U177" s="452"/>
    </row>
    <row r="178" spans="1:21" x14ac:dyDescent="0.2">
      <c r="A178" s="204">
        <f t="shared" si="2"/>
        <v>155</v>
      </c>
      <c r="B178" s="451"/>
      <c r="C178" s="451"/>
      <c r="D178" s="451"/>
      <c r="E178" s="451"/>
      <c r="F178" s="451"/>
      <c r="G178" s="451"/>
      <c r="H178" s="451"/>
      <c r="I178" s="451"/>
      <c r="J178" s="451"/>
      <c r="K178" s="451"/>
      <c r="L178" s="451"/>
      <c r="M178" s="451"/>
      <c r="N178" s="451"/>
      <c r="O178" s="452"/>
      <c r="P178" s="452"/>
      <c r="Q178" s="452"/>
      <c r="R178" s="452"/>
      <c r="S178" s="452"/>
      <c r="T178" s="452"/>
      <c r="U178" s="452"/>
    </row>
    <row r="179" spans="1:21" x14ac:dyDescent="0.2">
      <c r="A179" s="204">
        <f t="shared" si="2"/>
        <v>156</v>
      </c>
      <c r="B179" s="451"/>
      <c r="C179" s="451"/>
      <c r="D179" s="451"/>
      <c r="E179" s="451"/>
      <c r="F179" s="451"/>
      <c r="G179" s="451"/>
      <c r="H179" s="451"/>
      <c r="I179" s="451"/>
      <c r="J179" s="451"/>
      <c r="K179" s="451"/>
      <c r="L179" s="451"/>
      <c r="M179" s="451"/>
      <c r="N179" s="451"/>
      <c r="O179" s="452"/>
      <c r="P179" s="452"/>
      <c r="Q179" s="452"/>
      <c r="R179" s="452"/>
      <c r="S179" s="452"/>
      <c r="T179" s="452"/>
      <c r="U179" s="452"/>
    </row>
    <row r="180" spans="1:21" x14ac:dyDescent="0.2">
      <c r="A180" s="204">
        <f t="shared" si="2"/>
        <v>157</v>
      </c>
      <c r="B180" s="451"/>
      <c r="C180" s="451"/>
      <c r="D180" s="451"/>
      <c r="E180" s="451"/>
      <c r="F180" s="451"/>
      <c r="G180" s="451"/>
      <c r="H180" s="451"/>
      <c r="I180" s="451"/>
      <c r="J180" s="451"/>
      <c r="K180" s="451"/>
      <c r="L180" s="451"/>
      <c r="M180" s="451"/>
      <c r="N180" s="451"/>
      <c r="O180" s="452"/>
      <c r="P180" s="452"/>
      <c r="Q180" s="452"/>
      <c r="R180" s="452"/>
      <c r="S180" s="452"/>
      <c r="T180" s="452"/>
      <c r="U180" s="452"/>
    </row>
    <row r="181" spans="1:21" x14ac:dyDescent="0.2">
      <c r="A181" s="204">
        <f t="shared" si="2"/>
        <v>158</v>
      </c>
      <c r="B181" s="451"/>
      <c r="C181" s="451"/>
      <c r="D181" s="451"/>
      <c r="E181" s="451"/>
      <c r="F181" s="451"/>
      <c r="G181" s="451"/>
      <c r="H181" s="451"/>
      <c r="I181" s="451"/>
      <c r="J181" s="451"/>
      <c r="K181" s="451"/>
      <c r="L181" s="451"/>
      <c r="M181" s="451"/>
      <c r="N181" s="451"/>
      <c r="O181" s="452"/>
      <c r="P181" s="452"/>
      <c r="Q181" s="452"/>
      <c r="R181" s="452"/>
      <c r="S181" s="452"/>
      <c r="T181" s="452"/>
      <c r="U181" s="452"/>
    </row>
    <row r="182" spans="1:21" x14ac:dyDescent="0.2">
      <c r="A182" s="204">
        <f t="shared" si="2"/>
        <v>159</v>
      </c>
      <c r="B182" s="451"/>
      <c r="C182" s="451"/>
      <c r="D182" s="451"/>
      <c r="E182" s="451"/>
      <c r="F182" s="451"/>
      <c r="G182" s="451"/>
      <c r="H182" s="451"/>
      <c r="I182" s="451"/>
      <c r="J182" s="451"/>
      <c r="K182" s="451"/>
      <c r="L182" s="451"/>
      <c r="M182" s="451"/>
      <c r="N182" s="451"/>
      <c r="O182" s="452"/>
      <c r="P182" s="452"/>
      <c r="Q182" s="452"/>
      <c r="R182" s="452"/>
      <c r="S182" s="452"/>
      <c r="T182" s="452"/>
      <c r="U182" s="452"/>
    </row>
    <row r="183" spans="1:21" x14ac:dyDescent="0.2">
      <c r="A183" s="204">
        <f t="shared" si="2"/>
        <v>160</v>
      </c>
      <c r="B183" s="451"/>
      <c r="C183" s="451"/>
      <c r="D183" s="451"/>
      <c r="E183" s="451"/>
      <c r="F183" s="451"/>
      <c r="G183" s="451"/>
      <c r="H183" s="451"/>
      <c r="I183" s="451"/>
      <c r="J183" s="451"/>
      <c r="K183" s="451"/>
      <c r="L183" s="451"/>
      <c r="M183" s="451"/>
      <c r="N183" s="451"/>
      <c r="O183" s="452"/>
      <c r="P183" s="452"/>
      <c r="Q183" s="452"/>
      <c r="R183" s="452"/>
      <c r="S183" s="452"/>
      <c r="T183" s="452"/>
      <c r="U183" s="452"/>
    </row>
    <row r="184" spans="1:21" x14ac:dyDescent="0.2">
      <c r="A184" s="204">
        <f t="shared" si="2"/>
        <v>161</v>
      </c>
      <c r="B184" s="451"/>
      <c r="C184" s="451"/>
      <c r="D184" s="451"/>
      <c r="E184" s="451"/>
      <c r="F184" s="451"/>
      <c r="G184" s="451"/>
      <c r="H184" s="451"/>
      <c r="I184" s="451"/>
      <c r="J184" s="451"/>
      <c r="K184" s="451"/>
      <c r="L184" s="451"/>
      <c r="M184" s="451"/>
      <c r="N184" s="451"/>
      <c r="O184" s="452"/>
      <c r="P184" s="452"/>
      <c r="Q184" s="452"/>
      <c r="R184" s="452"/>
      <c r="S184" s="452"/>
      <c r="T184" s="452"/>
      <c r="U184" s="452"/>
    </row>
    <row r="185" spans="1:21" x14ac:dyDescent="0.2">
      <c r="A185" s="204">
        <f t="shared" si="2"/>
        <v>162</v>
      </c>
      <c r="B185" s="451"/>
      <c r="C185" s="451"/>
      <c r="D185" s="451"/>
      <c r="E185" s="451"/>
      <c r="F185" s="451"/>
      <c r="G185" s="451"/>
      <c r="H185" s="451"/>
      <c r="I185" s="451"/>
      <c r="J185" s="451"/>
      <c r="K185" s="451"/>
      <c r="L185" s="451"/>
      <c r="M185" s="451"/>
      <c r="N185" s="451"/>
      <c r="O185" s="452"/>
      <c r="P185" s="452"/>
      <c r="Q185" s="452"/>
      <c r="R185" s="452"/>
      <c r="S185" s="452"/>
      <c r="T185" s="452"/>
      <c r="U185" s="452"/>
    </row>
    <row r="186" spans="1:21" x14ac:dyDescent="0.2">
      <c r="A186" s="204">
        <f t="shared" si="2"/>
        <v>163</v>
      </c>
      <c r="B186" s="451"/>
      <c r="C186" s="451"/>
      <c r="D186" s="451"/>
      <c r="E186" s="451"/>
      <c r="F186" s="451"/>
      <c r="G186" s="451"/>
      <c r="H186" s="451"/>
      <c r="I186" s="451"/>
      <c r="J186" s="451"/>
      <c r="K186" s="451"/>
      <c r="L186" s="451"/>
      <c r="M186" s="451"/>
      <c r="N186" s="451"/>
      <c r="O186" s="452"/>
      <c r="P186" s="452"/>
      <c r="Q186" s="452"/>
      <c r="R186" s="452"/>
      <c r="S186" s="452"/>
      <c r="T186" s="452"/>
      <c r="U186" s="452"/>
    </row>
    <row r="187" spans="1:21" x14ac:dyDescent="0.2">
      <c r="A187" s="204">
        <f t="shared" si="2"/>
        <v>164</v>
      </c>
      <c r="B187" s="451"/>
      <c r="C187" s="451"/>
      <c r="D187" s="451"/>
      <c r="E187" s="451"/>
      <c r="F187" s="451"/>
      <c r="G187" s="451"/>
      <c r="H187" s="451"/>
      <c r="I187" s="451"/>
      <c r="J187" s="451"/>
      <c r="K187" s="451"/>
      <c r="L187" s="451"/>
      <c r="M187" s="451"/>
      <c r="N187" s="451"/>
      <c r="O187" s="452"/>
      <c r="P187" s="452"/>
      <c r="Q187" s="452"/>
      <c r="R187" s="452"/>
      <c r="S187" s="452"/>
      <c r="T187" s="452"/>
      <c r="U187" s="452"/>
    </row>
    <row r="188" spans="1:21" x14ac:dyDescent="0.2">
      <c r="A188" s="204">
        <f t="shared" si="2"/>
        <v>165</v>
      </c>
      <c r="B188" s="451"/>
      <c r="C188" s="451"/>
      <c r="D188" s="451"/>
      <c r="E188" s="451"/>
      <c r="F188" s="451"/>
      <c r="G188" s="451"/>
      <c r="H188" s="451"/>
      <c r="I188" s="451"/>
      <c r="J188" s="451"/>
      <c r="K188" s="451"/>
      <c r="L188" s="451"/>
      <c r="M188" s="451"/>
      <c r="N188" s="451"/>
      <c r="O188" s="452"/>
      <c r="P188" s="452"/>
      <c r="Q188" s="452"/>
      <c r="R188" s="452"/>
      <c r="S188" s="452"/>
      <c r="T188" s="452"/>
      <c r="U188" s="452"/>
    </row>
    <row r="189" spans="1:21" x14ac:dyDescent="0.2">
      <c r="A189" s="204">
        <f t="shared" si="2"/>
        <v>166</v>
      </c>
      <c r="B189" s="451"/>
      <c r="C189" s="451"/>
      <c r="D189" s="451"/>
      <c r="E189" s="451"/>
      <c r="F189" s="451"/>
      <c r="G189" s="451"/>
      <c r="H189" s="451"/>
      <c r="I189" s="451"/>
      <c r="J189" s="451"/>
      <c r="K189" s="451"/>
      <c r="L189" s="451"/>
      <c r="M189" s="451"/>
      <c r="N189" s="451"/>
      <c r="O189" s="452"/>
      <c r="P189" s="452"/>
      <c r="Q189" s="452"/>
      <c r="R189" s="452"/>
      <c r="S189" s="452"/>
      <c r="T189" s="452"/>
      <c r="U189" s="452"/>
    </row>
    <row r="190" spans="1:21" x14ac:dyDescent="0.2">
      <c r="A190" s="204">
        <f t="shared" si="2"/>
        <v>167</v>
      </c>
      <c r="B190" s="451"/>
      <c r="C190" s="451"/>
      <c r="D190" s="451"/>
      <c r="E190" s="451"/>
      <c r="F190" s="451"/>
      <c r="G190" s="451"/>
      <c r="H190" s="451"/>
      <c r="I190" s="451"/>
      <c r="J190" s="451"/>
      <c r="K190" s="451"/>
      <c r="L190" s="451"/>
      <c r="M190" s="451"/>
      <c r="N190" s="451"/>
      <c r="O190" s="452"/>
      <c r="P190" s="452"/>
      <c r="Q190" s="452"/>
      <c r="R190" s="452"/>
      <c r="S190" s="452"/>
      <c r="T190" s="452"/>
      <c r="U190" s="452"/>
    </row>
    <row r="191" spans="1:21" x14ac:dyDescent="0.2">
      <c r="A191" s="204">
        <f t="shared" si="2"/>
        <v>168</v>
      </c>
      <c r="B191" s="451"/>
      <c r="C191" s="451"/>
      <c r="D191" s="451"/>
      <c r="E191" s="451"/>
      <c r="F191" s="451"/>
      <c r="G191" s="451"/>
      <c r="H191" s="451"/>
      <c r="I191" s="451"/>
      <c r="J191" s="451"/>
      <c r="K191" s="451"/>
      <c r="L191" s="451"/>
      <c r="M191" s="451"/>
      <c r="N191" s="451"/>
      <c r="O191" s="452"/>
      <c r="P191" s="452"/>
      <c r="Q191" s="452"/>
      <c r="R191" s="452"/>
      <c r="S191" s="452"/>
      <c r="T191" s="452"/>
      <c r="U191" s="452"/>
    </row>
    <row r="192" spans="1:21" x14ac:dyDescent="0.2">
      <c r="A192" s="204">
        <f t="shared" si="2"/>
        <v>169</v>
      </c>
      <c r="B192" s="451"/>
      <c r="C192" s="451"/>
      <c r="D192" s="451"/>
      <c r="E192" s="451"/>
      <c r="F192" s="451"/>
      <c r="G192" s="451"/>
      <c r="H192" s="451"/>
      <c r="I192" s="451"/>
      <c r="J192" s="451"/>
      <c r="K192" s="451"/>
      <c r="L192" s="451"/>
      <c r="M192" s="451"/>
      <c r="N192" s="451"/>
      <c r="O192" s="452"/>
      <c r="P192" s="452"/>
      <c r="Q192" s="452"/>
      <c r="R192" s="452"/>
      <c r="S192" s="452"/>
      <c r="T192" s="452"/>
      <c r="U192" s="452"/>
    </row>
    <row r="193" spans="1:21" x14ac:dyDescent="0.2">
      <c r="A193" s="204">
        <f t="shared" si="2"/>
        <v>170</v>
      </c>
      <c r="B193" s="451"/>
      <c r="C193" s="451"/>
      <c r="D193" s="451"/>
      <c r="E193" s="451"/>
      <c r="F193" s="451"/>
      <c r="G193" s="451"/>
      <c r="H193" s="451"/>
      <c r="I193" s="451"/>
      <c r="J193" s="451"/>
      <c r="K193" s="451"/>
      <c r="L193" s="451"/>
      <c r="M193" s="451"/>
      <c r="N193" s="451"/>
      <c r="O193" s="452"/>
      <c r="P193" s="452"/>
      <c r="Q193" s="452"/>
      <c r="R193" s="452"/>
      <c r="S193" s="452"/>
      <c r="T193" s="452"/>
      <c r="U193" s="452"/>
    </row>
    <row r="194" spans="1:21" x14ac:dyDescent="0.2">
      <c r="A194" s="204">
        <f t="shared" si="2"/>
        <v>171</v>
      </c>
      <c r="B194" s="451"/>
      <c r="C194" s="451"/>
      <c r="D194" s="451"/>
      <c r="E194" s="451"/>
      <c r="F194" s="451"/>
      <c r="G194" s="451"/>
      <c r="H194" s="451"/>
      <c r="I194" s="451"/>
      <c r="J194" s="451"/>
      <c r="K194" s="451"/>
      <c r="L194" s="451"/>
      <c r="M194" s="451"/>
      <c r="N194" s="451"/>
      <c r="O194" s="452"/>
      <c r="P194" s="452"/>
      <c r="Q194" s="452"/>
      <c r="R194" s="452"/>
      <c r="S194" s="452"/>
      <c r="T194" s="452"/>
      <c r="U194" s="452"/>
    </row>
    <row r="195" spans="1:21" x14ac:dyDescent="0.2">
      <c r="A195" s="204">
        <f t="shared" si="2"/>
        <v>172</v>
      </c>
      <c r="B195" s="451"/>
      <c r="C195" s="451"/>
      <c r="D195" s="451"/>
      <c r="E195" s="451"/>
      <c r="F195" s="451"/>
      <c r="G195" s="451"/>
      <c r="H195" s="451"/>
      <c r="I195" s="451"/>
      <c r="J195" s="451"/>
      <c r="K195" s="451"/>
      <c r="L195" s="451"/>
      <c r="M195" s="451"/>
      <c r="N195" s="451"/>
      <c r="O195" s="452"/>
      <c r="P195" s="452"/>
      <c r="Q195" s="452"/>
      <c r="R195" s="452"/>
      <c r="S195" s="452"/>
      <c r="T195" s="452"/>
      <c r="U195" s="452"/>
    </row>
    <row r="196" spans="1:21" x14ac:dyDescent="0.2">
      <c r="A196" s="204">
        <f t="shared" si="2"/>
        <v>173</v>
      </c>
      <c r="B196" s="451"/>
      <c r="C196" s="451"/>
      <c r="D196" s="451"/>
      <c r="E196" s="451"/>
      <c r="F196" s="451"/>
      <c r="G196" s="451"/>
      <c r="H196" s="451"/>
      <c r="I196" s="451"/>
      <c r="J196" s="451"/>
      <c r="K196" s="451"/>
      <c r="L196" s="451"/>
      <c r="M196" s="451"/>
      <c r="N196" s="451"/>
      <c r="O196" s="452"/>
      <c r="P196" s="452"/>
      <c r="Q196" s="452"/>
      <c r="R196" s="452"/>
      <c r="S196" s="452"/>
      <c r="T196" s="452"/>
      <c r="U196" s="452"/>
    </row>
    <row r="197" spans="1:21" x14ac:dyDescent="0.2">
      <c r="A197" s="204">
        <f t="shared" si="2"/>
        <v>174</v>
      </c>
      <c r="B197" s="451"/>
      <c r="C197" s="451"/>
      <c r="D197" s="451"/>
      <c r="E197" s="451"/>
      <c r="F197" s="451"/>
      <c r="G197" s="451"/>
      <c r="H197" s="451"/>
      <c r="I197" s="451"/>
      <c r="J197" s="451"/>
      <c r="K197" s="451"/>
      <c r="L197" s="451"/>
      <c r="M197" s="451"/>
      <c r="N197" s="451"/>
      <c r="O197" s="452"/>
      <c r="P197" s="452"/>
      <c r="Q197" s="452"/>
      <c r="R197" s="452"/>
      <c r="S197" s="452"/>
      <c r="T197" s="452"/>
      <c r="U197" s="452"/>
    </row>
    <row r="198" spans="1:21" x14ac:dyDescent="0.2">
      <c r="A198" s="204">
        <f t="shared" si="2"/>
        <v>175</v>
      </c>
      <c r="B198" s="451"/>
      <c r="C198" s="451"/>
      <c r="D198" s="451"/>
      <c r="E198" s="451"/>
      <c r="F198" s="451"/>
      <c r="G198" s="451"/>
      <c r="H198" s="451"/>
      <c r="I198" s="451"/>
      <c r="J198" s="451"/>
      <c r="K198" s="451"/>
      <c r="L198" s="451"/>
      <c r="M198" s="451"/>
      <c r="N198" s="451"/>
      <c r="O198" s="452"/>
      <c r="P198" s="452"/>
      <c r="Q198" s="452"/>
      <c r="R198" s="452"/>
      <c r="S198" s="452"/>
      <c r="T198" s="452"/>
      <c r="U198" s="452"/>
    </row>
    <row r="199" spans="1:21" x14ac:dyDescent="0.2">
      <c r="A199" s="204">
        <f t="shared" si="2"/>
        <v>176</v>
      </c>
      <c r="B199" s="451"/>
      <c r="C199" s="451"/>
      <c r="D199" s="451"/>
      <c r="E199" s="451"/>
      <c r="F199" s="451"/>
      <c r="G199" s="451"/>
      <c r="H199" s="451"/>
      <c r="I199" s="451"/>
      <c r="J199" s="451"/>
      <c r="K199" s="451"/>
      <c r="L199" s="451"/>
      <c r="M199" s="451"/>
      <c r="N199" s="451"/>
      <c r="O199" s="452"/>
      <c r="P199" s="452"/>
      <c r="Q199" s="452"/>
      <c r="R199" s="452"/>
      <c r="S199" s="452"/>
      <c r="T199" s="452"/>
      <c r="U199" s="452"/>
    </row>
    <row r="200" spans="1:21" x14ac:dyDescent="0.2">
      <c r="A200" s="204">
        <f t="shared" si="2"/>
        <v>177</v>
      </c>
      <c r="B200" s="451"/>
      <c r="C200" s="451"/>
      <c r="D200" s="451"/>
      <c r="E200" s="451"/>
      <c r="F200" s="451"/>
      <c r="G200" s="451"/>
      <c r="H200" s="451"/>
      <c r="I200" s="451"/>
      <c r="J200" s="451"/>
      <c r="K200" s="451"/>
      <c r="L200" s="451"/>
      <c r="M200" s="451"/>
      <c r="N200" s="451"/>
      <c r="O200" s="452"/>
      <c r="P200" s="452"/>
      <c r="Q200" s="452"/>
      <c r="R200" s="452"/>
      <c r="S200" s="452"/>
      <c r="T200" s="452"/>
      <c r="U200" s="452"/>
    </row>
    <row r="201" spans="1:21" x14ac:dyDescent="0.2">
      <c r="A201" s="204">
        <f t="shared" si="2"/>
        <v>178</v>
      </c>
      <c r="B201" s="451"/>
      <c r="C201" s="451"/>
      <c r="D201" s="451"/>
      <c r="E201" s="451"/>
      <c r="F201" s="451"/>
      <c r="G201" s="451"/>
      <c r="H201" s="451"/>
      <c r="I201" s="451"/>
      <c r="J201" s="451"/>
      <c r="K201" s="451"/>
      <c r="L201" s="451"/>
      <c r="M201" s="451"/>
      <c r="N201" s="451"/>
      <c r="O201" s="452"/>
      <c r="P201" s="452"/>
      <c r="Q201" s="452"/>
      <c r="R201" s="452"/>
      <c r="S201" s="452"/>
      <c r="T201" s="452"/>
      <c r="U201" s="452"/>
    </row>
    <row r="202" spans="1:21" x14ac:dyDescent="0.2">
      <c r="A202" s="204">
        <f t="shared" si="2"/>
        <v>179</v>
      </c>
      <c r="B202" s="451"/>
      <c r="C202" s="451"/>
      <c r="D202" s="451"/>
      <c r="E202" s="451"/>
      <c r="F202" s="451"/>
      <c r="G202" s="451"/>
      <c r="H202" s="451"/>
      <c r="I202" s="451"/>
      <c r="J202" s="451"/>
      <c r="K202" s="451"/>
      <c r="L202" s="451"/>
      <c r="M202" s="451"/>
      <c r="N202" s="451"/>
      <c r="O202" s="452"/>
      <c r="P202" s="452"/>
      <c r="Q202" s="452"/>
      <c r="R202" s="452"/>
      <c r="S202" s="452"/>
      <c r="T202" s="452"/>
      <c r="U202" s="452"/>
    </row>
    <row r="203" spans="1:21" x14ac:dyDescent="0.2">
      <c r="A203" s="204">
        <f t="shared" si="2"/>
        <v>180</v>
      </c>
      <c r="B203" s="451"/>
      <c r="C203" s="451"/>
      <c r="D203" s="451"/>
      <c r="E203" s="451"/>
      <c r="F203" s="451"/>
      <c r="G203" s="451"/>
      <c r="H203" s="451"/>
      <c r="I203" s="451"/>
      <c r="J203" s="451"/>
      <c r="K203" s="451"/>
      <c r="L203" s="451"/>
      <c r="M203" s="451"/>
      <c r="N203" s="451"/>
      <c r="O203" s="452"/>
      <c r="P203" s="452"/>
      <c r="Q203" s="452"/>
      <c r="R203" s="452"/>
      <c r="S203" s="452"/>
      <c r="T203" s="452"/>
      <c r="U203" s="452"/>
    </row>
    <row r="204" spans="1:21" x14ac:dyDescent="0.2">
      <c r="A204" s="204">
        <f t="shared" si="2"/>
        <v>181</v>
      </c>
      <c r="B204" s="451"/>
      <c r="C204" s="451"/>
      <c r="D204" s="451"/>
      <c r="E204" s="451"/>
      <c r="F204" s="451"/>
      <c r="G204" s="451"/>
      <c r="H204" s="451"/>
      <c r="I204" s="451"/>
      <c r="J204" s="451"/>
      <c r="K204" s="451"/>
      <c r="L204" s="451"/>
      <c r="M204" s="451"/>
      <c r="N204" s="451"/>
      <c r="O204" s="452"/>
      <c r="P204" s="452"/>
      <c r="Q204" s="452"/>
      <c r="R204" s="452"/>
      <c r="S204" s="452"/>
      <c r="T204" s="452"/>
      <c r="U204" s="452"/>
    </row>
    <row r="205" spans="1:21" x14ac:dyDescent="0.2">
      <c r="A205" s="204">
        <f t="shared" si="2"/>
        <v>182</v>
      </c>
      <c r="B205" s="451"/>
      <c r="C205" s="451"/>
      <c r="D205" s="451"/>
      <c r="E205" s="451"/>
      <c r="F205" s="451"/>
      <c r="G205" s="451"/>
      <c r="H205" s="451"/>
      <c r="I205" s="451"/>
      <c r="J205" s="451"/>
      <c r="K205" s="451"/>
      <c r="L205" s="451"/>
      <c r="M205" s="451"/>
      <c r="N205" s="451"/>
      <c r="O205" s="452"/>
      <c r="P205" s="452"/>
      <c r="Q205" s="452"/>
      <c r="R205" s="452"/>
      <c r="S205" s="452"/>
      <c r="T205" s="452"/>
      <c r="U205" s="452"/>
    </row>
    <row r="206" spans="1:21" x14ac:dyDescent="0.2">
      <c r="A206" s="204">
        <f t="shared" si="2"/>
        <v>183</v>
      </c>
      <c r="B206" s="451"/>
      <c r="C206" s="451"/>
      <c r="D206" s="451"/>
      <c r="E206" s="451"/>
      <c r="F206" s="451"/>
      <c r="G206" s="451"/>
      <c r="H206" s="451"/>
      <c r="I206" s="451"/>
      <c r="J206" s="451"/>
      <c r="K206" s="451"/>
      <c r="L206" s="451"/>
      <c r="M206" s="451"/>
      <c r="N206" s="451"/>
      <c r="O206" s="452"/>
      <c r="P206" s="452"/>
      <c r="Q206" s="452"/>
      <c r="R206" s="452"/>
      <c r="S206" s="452"/>
      <c r="T206" s="452"/>
      <c r="U206" s="452"/>
    </row>
    <row r="207" spans="1:21" x14ac:dyDescent="0.2">
      <c r="A207" s="204">
        <f t="shared" si="2"/>
        <v>184</v>
      </c>
      <c r="B207" s="451"/>
      <c r="C207" s="451"/>
      <c r="D207" s="451"/>
      <c r="E207" s="451"/>
      <c r="F207" s="451"/>
      <c r="G207" s="451"/>
      <c r="H207" s="451"/>
      <c r="I207" s="451"/>
      <c r="J207" s="451"/>
      <c r="K207" s="451"/>
      <c r="L207" s="451"/>
      <c r="M207" s="451"/>
      <c r="N207" s="451"/>
      <c r="O207" s="452"/>
      <c r="P207" s="452"/>
      <c r="Q207" s="452"/>
      <c r="R207" s="452"/>
      <c r="S207" s="452"/>
      <c r="T207" s="452"/>
      <c r="U207" s="452"/>
    </row>
    <row r="208" spans="1:21" x14ac:dyDescent="0.2">
      <c r="A208" s="204">
        <f t="shared" si="2"/>
        <v>185</v>
      </c>
      <c r="B208" s="451"/>
      <c r="C208" s="451"/>
      <c r="D208" s="451"/>
      <c r="E208" s="451"/>
      <c r="F208" s="451"/>
      <c r="G208" s="451"/>
      <c r="H208" s="451"/>
      <c r="I208" s="451"/>
      <c r="J208" s="451"/>
      <c r="K208" s="451"/>
      <c r="L208" s="451"/>
      <c r="M208" s="451"/>
      <c r="N208" s="451"/>
      <c r="O208" s="452"/>
      <c r="P208" s="452"/>
      <c r="Q208" s="452"/>
      <c r="R208" s="452"/>
      <c r="S208" s="452"/>
      <c r="T208" s="452"/>
      <c r="U208" s="452"/>
    </row>
    <row r="209" spans="1:21" x14ac:dyDescent="0.2">
      <c r="A209" s="204">
        <f t="shared" si="2"/>
        <v>186</v>
      </c>
      <c r="B209" s="451"/>
      <c r="C209" s="451"/>
      <c r="D209" s="451"/>
      <c r="E209" s="451"/>
      <c r="F209" s="451"/>
      <c r="G209" s="451"/>
      <c r="H209" s="451"/>
      <c r="I209" s="451"/>
      <c r="J209" s="451"/>
      <c r="K209" s="451"/>
      <c r="L209" s="451"/>
      <c r="M209" s="451"/>
      <c r="N209" s="451"/>
      <c r="O209" s="452"/>
      <c r="P209" s="452"/>
      <c r="Q209" s="452"/>
      <c r="R209" s="452"/>
      <c r="S209" s="452"/>
      <c r="T209" s="452"/>
      <c r="U209" s="452"/>
    </row>
    <row r="210" spans="1:21" x14ac:dyDescent="0.2">
      <c r="A210" s="204">
        <f t="shared" si="2"/>
        <v>187</v>
      </c>
      <c r="B210" s="451"/>
      <c r="C210" s="451"/>
      <c r="D210" s="451"/>
      <c r="E210" s="451"/>
      <c r="F210" s="451"/>
      <c r="G210" s="451"/>
      <c r="H210" s="451"/>
      <c r="I210" s="451"/>
      <c r="J210" s="451"/>
      <c r="K210" s="451"/>
      <c r="L210" s="451"/>
      <c r="M210" s="451"/>
      <c r="N210" s="451"/>
      <c r="O210" s="452"/>
      <c r="P210" s="452"/>
      <c r="Q210" s="452"/>
      <c r="R210" s="452"/>
      <c r="S210" s="452"/>
      <c r="T210" s="452"/>
      <c r="U210" s="452"/>
    </row>
    <row r="211" spans="1:21" x14ac:dyDescent="0.2">
      <c r="A211" s="204">
        <f t="shared" si="2"/>
        <v>188</v>
      </c>
      <c r="B211" s="451"/>
      <c r="C211" s="451"/>
      <c r="D211" s="451"/>
      <c r="E211" s="451"/>
      <c r="F211" s="451"/>
      <c r="G211" s="451"/>
      <c r="H211" s="451"/>
      <c r="I211" s="451"/>
      <c r="J211" s="451"/>
      <c r="K211" s="451"/>
      <c r="L211" s="451"/>
      <c r="M211" s="451"/>
      <c r="N211" s="451"/>
      <c r="O211" s="452"/>
      <c r="P211" s="452"/>
      <c r="Q211" s="452"/>
      <c r="R211" s="452"/>
      <c r="S211" s="452"/>
      <c r="T211" s="452"/>
      <c r="U211" s="452"/>
    </row>
    <row r="212" spans="1:21" x14ac:dyDescent="0.2">
      <c r="A212" s="204">
        <f t="shared" si="2"/>
        <v>189</v>
      </c>
      <c r="B212" s="451"/>
      <c r="C212" s="451"/>
      <c r="D212" s="451"/>
      <c r="E212" s="451"/>
      <c r="F212" s="451"/>
      <c r="G212" s="451"/>
      <c r="H212" s="451"/>
      <c r="I212" s="451"/>
      <c r="J212" s="451"/>
      <c r="K212" s="451"/>
      <c r="L212" s="451"/>
      <c r="M212" s="451"/>
      <c r="N212" s="451"/>
      <c r="O212" s="452"/>
      <c r="P212" s="452"/>
      <c r="Q212" s="452"/>
      <c r="R212" s="452"/>
      <c r="S212" s="452"/>
      <c r="T212" s="452"/>
      <c r="U212" s="452"/>
    </row>
    <row r="213" spans="1:21" x14ac:dyDescent="0.2">
      <c r="A213" s="204">
        <f t="shared" si="2"/>
        <v>190</v>
      </c>
      <c r="B213" s="451"/>
      <c r="C213" s="451"/>
      <c r="D213" s="451"/>
      <c r="E213" s="451"/>
      <c r="F213" s="451"/>
      <c r="G213" s="451"/>
      <c r="H213" s="451"/>
      <c r="I213" s="451"/>
      <c r="J213" s="451"/>
      <c r="K213" s="451"/>
      <c r="L213" s="451"/>
      <c r="M213" s="451"/>
      <c r="N213" s="451"/>
      <c r="O213" s="452"/>
      <c r="P213" s="452"/>
      <c r="Q213" s="452"/>
      <c r="R213" s="452"/>
      <c r="S213" s="452"/>
      <c r="T213" s="452"/>
      <c r="U213" s="452"/>
    </row>
    <row r="214" spans="1:21" x14ac:dyDescent="0.2">
      <c r="A214" s="204">
        <f t="shared" si="2"/>
        <v>191</v>
      </c>
      <c r="B214" s="451"/>
      <c r="C214" s="451"/>
      <c r="D214" s="451"/>
      <c r="E214" s="451"/>
      <c r="F214" s="451"/>
      <c r="G214" s="451"/>
      <c r="H214" s="451"/>
      <c r="I214" s="451"/>
      <c r="J214" s="451"/>
      <c r="K214" s="451"/>
      <c r="L214" s="451"/>
      <c r="M214" s="451"/>
      <c r="N214" s="451"/>
      <c r="O214" s="452"/>
      <c r="P214" s="452"/>
      <c r="Q214" s="452"/>
      <c r="R214" s="452"/>
      <c r="S214" s="452"/>
      <c r="T214" s="452"/>
      <c r="U214" s="452"/>
    </row>
    <row r="215" spans="1:21" x14ac:dyDescent="0.2">
      <c r="A215" s="204">
        <f t="shared" si="2"/>
        <v>192</v>
      </c>
      <c r="B215" s="451"/>
      <c r="C215" s="451"/>
      <c r="D215" s="451"/>
      <c r="E215" s="451"/>
      <c r="F215" s="451"/>
      <c r="G215" s="451"/>
      <c r="H215" s="451"/>
      <c r="I215" s="451"/>
      <c r="J215" s="451"/>
      <c r="K215" s="451"/>
      <c r="L215" s="451"/>
      <c r="M215" s="451"/>
      <c r="N215" s="451"/>
      <c r="O215" s="452"/>
      <c r="P215" s="452"/>
      <c r="Q215" s="452"/>
      <c r="R215" s="452"/>
      <c r="S215" s="452"/>
      <c r="T215" s="452"/>
      <c r="U215" s="452"/>
    </row>
    <row r="216" spans="1:21" x14ac:dyDescent="0.2">
      <c r="A216" s="204">
        <f t="shared" si="2"/>
        <v>193</v>
      </c>
      <c r="B216" s="451"/>
      <c r="C216" s="451"/>
      <c r="D216" s="451"/>
      <c r="E216" s="451"/>
      <c r="F216" s="451"/>
      <c r="G216" s="451"/>
      <c r="H216" s="451"/>
      <c r="I216" s="451"/>
      <c r="J216" s="451"/>
      <c r="K216" s="451"/>
      <c r="L216" s="451"/>
      <c r="M216" s="451"/>
      <c r="N216" s="451"/>
      <c r="O216" s="452"/>
      <c r="P216" s="452"/>
      <c r="Q216" s="452"/>
      <c r="R216" s="452"/>
      <c r="S216" s="452"/>
      <c r="T216" s="452"/>
      <c r="U216" s="452"/>
    </row>
    <row r="217" spans="1:21" x14ac:dyDescent="0.2">
      <c r="A217" s="204">
        <f t="shared" ref="A217:A280" si="3">A216+1</f>
        <v>194</v>
      </c>
      <c r="B217" s="451"/>
      <c r="C217" s="451"/>
      <c r="D217" s="451"/>
      <c r="E217" s="451"/>
      <c r="F217" s="451"/>
      <c r="G217" s="451"/>
      <c r="H217" s="451"/>
      <c r="I217" s="451"/>
      <c r="J217" s="451"/>
      <c r="K217" s="451"/>
      <c r="L217" s="451"/>
      <c r="M217" s="451"/>
      <c r="N217" s="451"/>
      <c r="O217" s="452"/>
      <c r="P217" s="452"/>
      <c r="Q217" s="452"/>
      <c r="R217" s="452"/>
      <c r="S217" s="452"/>
      <c r="T217" s="452"/>
      <c r="U217" s="452"/>
    </row>
    <row r="218" spans="1:21" x14ac:dyDescent="0.2">
      <c r="A218" s="204">
        <f t="shared" si="3"/>
        <v>195</v>
      </c>
      <c r="B218" s="451"/>
      <c r="C218" s="451"/>
      <c r="D218" s="451"/>
      <c r="E218" s="451"/>
      <c r="F218" s="451"/>
      <c r="G218" s="451"/>
      <c r="H218" s="451"/>
      <c r="I218" s="451"/>
      <c r="J218" s="451"/>
      <c r="K218" s="451"/>
      <c r="L218" s="451"/>
      <c r="M218" s="451"/>
      <c r="N218" s="451"/>
      <c r="O218" s="452"/>
      <c r="P218" s="452"/>
      <c r="Q218" s="452"/>
      <c r="R218" s="452"/>
      <c r="S218" s="452"/>
      <c r="T218" s="452"/>
      <c r="U218" s="452"/>
    </row>
    <row r="219" spans="1:21" x14ac:dyDescent="0.2">
      <c r="A219" s="204">
        <f t="shared" si="3"/>
        <v>196</v>
      </c>
      <c r="B219" s="451"/>
      <c r="C219" s="451"/>
      <c r="D219" s="451"/>
      <c r="E219" s="451"/>
      <c r="F219" s="451"/>
      <c r="G219" s="451"/>
      <c r="H219" s="451"/>
      <c r="I219" s="451"/>
      <c r="J219" s="451"/>
      <c r="K219" s="451"/>
      <c r="L219" s="451"/>
      <c r="M219" s="451"/>
      <c r="N219" s="451"/>
      <c r="O219" s="452"/>
      <c r="P219" s="452"/>
      <c r="Q219" s="452"/>
      <c r="R219" s="452"/>
      <c r="S219" s="452"/>
      <c r="T219" s="452"/>
      <c r="U219" s="452"/>
    </row>
    <row r="220" spans="1:21" x14ac:dyDescent="0.2">
      <c r="A220" s="204">
        <f t="shared" si="3"/>
        <v>197</v>
      </c>
      <c r="B220" s="451"/>
      <c r="C220" s="451"/>
      <c r="D220" s="451"/>
      <c r="E220" s="451"/>
      <c r="F220" s="451"/>
      <c r="G220" s="451"/>
      <c r="H220" s="451"/>
      <c r="I220" s="451"/>
      <c r="J220" s="451"/>
      <c r="K220" s="451"/>
      <c r="L220" s="451"/>
      <c r="M220" s="451"/>
      <c r="N220" s="451"/>
      <c r="O220" s="452"/>
      <c r="P220" s="452"/>
      <c r="Q220" s="452"/>
      <c r="R220" s="452"/>
      <c r="S220" s="452"/>
      <c r="T220" s="452"/>
      <c r="U220" s="452"/>
    </row>
    <row r="221" spans="1:21" x14ac:dyDescent="0.2">
      <c r="A221" s="204">
        <f t="shared" si="3"/>
        <v>198</v>
      </c>
      <c r="B221" s="451"/>
      <c r="C221" s="451"/>
      <c r="D221" s="451"/>
      <c r="E221" s="451"/>
      <c r="F221" s="451"/>
      <c r="G221" s="451"/>
      <c r="H221" s="451"/>
      <c r="I221" s="451"/>
      <c r="J221" s="451"/>
      <c r="K221" s="451"/>
      <c r="L221" s="451"/>
      <c r="M221" s="451"/>
      <c r="N221" s="451"/>
      <c r="O221" s="452"/>
      <c r="P221" s="452"/>
      <c r="Q221" s="452"/>
      <c r="R221" s="452"/>
      <c r="S221" s="452"/>
      <c r="T221" s="452"/>
      <c r="U221" s="452"/>
    </row>
    <row r="222" spans="1:21" x14ac:dyDescent="0.2">
      <c r="A222" s="204">
        <f t="shared" si="3"/>
        <v>199</v>
      </c>
      <c r="B222" s="451"/>
      <c r="C222" s="451"/>
      <c r="D222" s="451"/>
      <c r="E222" s="451"/>
      <c r="F222" s="451"/>
      <c r="G222" s="451"/>
      <c r="H222" s="451"/>
      <c r="I222" s="451"/>
      <c r="J222" s="451"/>
      <c r="K222" s="451"/>
      <c r="L222" s="451"/>
      <c r="M222" s="451"/>
      <c r="N222" s="451"/>
      <c r="O222" s="452"/>
      <c r="P222" s="452"/>
      <c r="Q222" s="452"/>
      <c r="R222" s="452"/>
      <c r="S222" s="452"/>
      <c r="T222" s="452"/>
      <c r="U222" s="452"/>
    </row>
    <row r="223" spans="1:21" x14ac:dyDescent="0.2">
      <c r="A223" s="204">
        <f t="shared" si="3"/>
        <v>200</v>
      </c>
      <c r="B223" s="451"/>
      <c r="C223" s="451"/>
      <c r="D223" s="451"/>
      <c r="E223" s="451"/>
      <c r="F223" s="451"/>
      <c r="G223" s="451"/>
      <c r="H223" s="451"/>
      <c r="I223" s="451"/>
      <c r="J223" s="451"/>
      <c r="K223" s="451"/>
      <c r="L223" s="451"/>
      <c r="M223" s="451"/>
      <c r="N223" s="451"/>
      <c r="O223" s="452"/>
      <c r="P223" s="452"/>
      <c r="Q223" s="452"/>
      <c r="R223" s="452"/>
      <c r="S223" s="452"/>
      <c r="T223" s="452"/>
      <c r="U223" s="452"/>
    </row>
    <row r="224" spans="1:21" x14ac:dyDescent="0.2">
      <c r="A224" s="204">
        <f t="shared" si="3"/>
        <v>201</v>
      </c>
      <c r="B224" s="451"/>
      <c r="C224" s="451"/>
      <c r="D224" s="451"/>
      <c r="E224" s="451"/>
      <c r="F224" s="451"/>
      <c r="G224" s="451"/>
      <c r="H224" s="451"/>
      <c r="I224" s="451"/>
      <c r="J224" s="451"/>
      <c r="K224" s="451"/>
      <c r="L224" s="451"/>
      <c r="M224" s="451"/>
      <c r="N224" s="451"/>
      <c r="O224" s="452"/>
      <c r="P224" s="452"/>
      <c r="Q224" s="452"/>
      <c r="R224" s="452"/>
      <c r="S224" s="452"/>
      <c r="T224" s="452"/>
      <c r="U224" s="452"/>
    </row>
    <row r="225" spans="1:21" x14ac:dyDescent="0.2">
      <c r="A225" s="204">
        <f t="shared" si="3"/>
        <v>202</v>
      </c>
      <c r="B225" s="451"/>
      <c r="C225" s="451"/>
      <c r="D225" s="451"/>
      <c r="E225" s="451"/>
      <c r="F225" s="451"/>
      <c r="G225" s="451"/>
      <c r="H225" s="451"/>
      <c r="I225" s="451"/>
      <c r="J225" s="451"/>
      <c r="K225" s="451"/>
      <c r="L225" s="451"/>
      <c r="M225" s="451"/>
      <c r="N225" s="451"/>
      <c r="O225" s="452"/>
      <c r="P225" s="452"/>
      <c r="Q225" s="452"/>
      <c r="R225" s="452"/>
      <c r="S225" s="452"/>
      <c r="T225" s="452"/>
      <c r="U225" s="452"/>
    </row>
    <row r="226" spans="1:21" x14ac:dyDescent="0.2">
      <c r="A226" s="204">
        <f t="shared" si="3"/>
        <v>203</v>
      </c>
      <c r="B226" s="451"/>
      <c r="C226" s="451"/>
      <c r="D226" s="451"/>
      <c r="E226" s="451"/>
      <c r="F226" s="451"/>
      <c r="G226" s="451"/>
      <c r="H226" s="451"/>
      <c r="I226" s="451"/>
      <c r="J226" s="451"/>
      <c r="K226" s="451"/>
      <c r="L226" s="451"/>
      <c r="M226" s="451"/>
      <c r="N226" s="451"/>
      <c r="O226" s="452"/>
      <c r="P226" s="452"/>
      <c r="Q226" s="452"/>
      <c r="R226" s="452"/>
      <c r="S226" s="452"/>
      <c r="T226" s="452"/>
      <c r="U226" s="452"/>
    </row>
    <row r="227" spans="1:21" x14ac:dyDescent="0.2">
      <c r="A227" s="204">
        <f t="shared" si="3"/>
        <v>204</v>
      </c>
      <c r="B227" s="451"/>
      <c r="C227" s="451"/>
      <c r="D227" s="451"/>
      <c r="E227" s="451"/>
      <c r="F227" s="451"/>
      <c r="G227" s="451"/>
      <c r="H227" s="451"/>
      <c r="I227" s="451"/>
      <c r="J227" s="451"/>
      <c r="K227" s="451"/>
      <c r="L227" s="451"/>
      <c r="M227" s="451"/>
      <c r="N227" s="451"/>
      <c r="O227" s="452"/>
      <c r="P227" s="452"/>
      <c r="Q227" s="452"/>
      <c r="R227" s="452"/>
      <c r="S227" s="452"/>
      <c r="T227" s="452"/>
      <c r="U227" s="452"/>
    </row>
    <row r="228" spans="1:21" x14ac:dyDescent="0.2">
      <c r="A228" s="204">
        <f t="shared" si="3"/>
        <v>205</v>
      </c>
      <c r="B228" s="451"/>
      <c r="C228" s="451"/>
      <c r="D228" s="451"/>
      <c r="E228" s="451"/>
      <c r="F228" s="451"/>
      <c r="G228" s="451"/>
      <c r="H228" s="451"/>
      <c r="I228" s="451"/>
      <c r="J228" s="451"/>
      <c r="K228" s="451"/>
      <c r="L228" s="451"/>
      <c r="M228" s="451"/>
      <c r="N228" s="451"/>
      <c r="O228" s="452"/>
      <c r="P228" s="452"/>
      <c r="Q228" s="452"/>
      <c r="R228" s="452"/>
      <c r="S228" s="452"/>
      <c r="T228" s="452"/>
      <c r="U228" s="452"/>
    </row>
    <row r="229" spans="1:21" x14ac:dyDescent="0.2">
      <c r="A229" s="204">
        <f t="shared" si="3"/>
        <v>206</v>
      </c>
      <c r="B229" s="451"/>
      <c r="C229" s="451"/>
      <c r="D229" s="451"/>
      <c r="E229" s="451"/>
      <c r="F229" s="451"/>
      <c r="G229" s="451"/>
      <c r="H229" s="451"/>
      <c r="I229" s="451"/>
      <c r="J229" s="451"/>
      <c r="K229" s="451"/>
      <c r="L229" s="451"/>
      <c r="M229" s="451"/>
      <c r="N229" s="451"/>
      <c r="O229" s="452"/>
      <c r="P229" s="452"/>
      <c r="Q229" s="452"/>
      <c r="R229" s="452"/>
      <c r="S229" s="452"/>
      <c r="T229" s="452"/>
      <c r="U229" s="452"/>
    </row>
    <row r="230" spans="1:21" x14ac:dyDescent="0.2">
      <c r="A230" s="204">
        <f t="shared" si="3"/>
        <v>207</v>
      </c>
      <c r="B230" s="451"/>
      <c r="C230" s="451"/>
      <c r="D230" s="451"/>
      <c r="E230" s="451"/>
      <c r="F230" s="451"/>
      <c r="G230" s="451"/>
      <c r="H230" s="451"/>
      <c r="I230" s="451"/>
      <c r="J230" s="451"/>
      <c r="K230" s="451"/>
      <c r="L230" s="451"/>
      <c r="M230" s="451"/>
      <c r="N230" s="451"/>
      <c r="O230" s="452"/>
      <c r="P230" s="452"/>
      <c r="Q230" s="452"/>
      <c r="R230" s="452"/>
      <c r="S230" s="452"/>
      <c r="T230" s="452"/>
      <c r="U230" s="452"/>
    </row>
    <row r="231" spans="1:21" x14ac:dyDescent="0.2">
      <c r="A231" s="204">
        <f t="shared" si="3"/>
        <v>208</v>
      </c>
      <c r="B231" s="451"/>
      <c r="C231" s="451"/>
      <c r="D231" s="451"/>
      <c r="E231" s="451"/>
      <c r="F231" s="451"/>
      <c r="G231" s="451"/>
      <c r="H231" s="451"/>
      <c r="I231" s="451"/>
      <c r="J231" s="451"/>
      <c r="K231" s="451"/>
      <c r="L231" s="451"/>
      <c r="M231" s="451"/>
      <c r="N231" s="451"/>
      <c r="O231" s="452"/>
      <c r="P231" s="452"/>
      <c r="Q231" s="452"/>
      <c r="R231" s="452"/>
      <c r="S231" s="452"/>
      <c r="T231" s="452"/>
      <c r="U231" s="452"/>
    </row>
    <row r="232" spans="1:21" x14ac:dyDescent="0.2">
      <c r="A232" s="204">
        <f t="shared" si="3"/>
        <v>209</v>
      </c>
      <c r="B232" s="451"/>
      <c r="C232" s="451"/>
      <c r="D232" s="451"/>
      <c r="E232" s="451"/>
      <c r="F232" s="451"/>
      <c r="G232" s="451"/>
      <c r="H232" s="451"/>
      <c r="I232" s="451"/>
      <c r="J232" s="451"/>
      <c r="K232" s="451"/>
      <c r="L232" s="451"/>
      <c r="M232" s="451"/>
      <c r="N232" s="451"/>
      <c r="O232" s="452"/>
      <c r="P232" s="452"/>
      <c r="Q232" s="452"/>
      <c r="R232" s="452"/>
      <c r="S232" s="452"/>
      <c r="T232" s="452"/>
      <c r="U232" s="452"/>
    </row>
    <row r="233" spans="1:21" x14ac:dyDescent="0.2">
      <c r="A233" s="204">
        <f t="shared" si="3"/>
        <v>210</v>
      </c>
      <c r="B233" s="451"/>
      <c r="C233" s="451"/>
      <c r="D233" s="451"/>
      <c r="E233" s="451"/>
      <c r="F233" s="451"/>
      <c r="G233" s="451"/>
      <c r="H233" s="451"/>
      <c r="I233" s="451"/>
      <c r="J233" s="451"/>
      <c r="K233" s="451"/>
      <c r="L233" s="451"/>
      <c r="M233" s="451"/>
      <c r="N233" s="451"/>
      <c r="O233" s="452"/>
      <c r="P233" s="452"/>
      <c r="Q233" s="452"/>
      <c r="R233" s="452"/>
      <c r="S233" s="452"/>
      <c r="T233" s="452"/>
      <c r="U233" s="452"/>
    </row>
    <row r="234" spans="1:21" x14ac:dyDescent="0.2">
      <c r="A234" s="204">
        <f t="shared" si="3"/>
        <v>211</v>
      </c>
      <c r="B234" s="451"/>
      <c r="C234" s="451"/>
      <c r="D234" s="451"/>
      <c r="E234" s="451"/>
      <c r="F234" s="451"/>
      <c r="G234" s="451"/>
      <c r="H234" s="451"/>
      <c r="I234" s="451"/>
      <c r="J234" s="451"/>
      <c r="K234" s="451"/>
      <c r="L234" s="451"/>
      <c r="M234" s="451"/>
      <c r="N234" s="451"/>
      <c r="O234" s="452"/>
      <c r="P234" s="452"/>
      <c r="Q234" s="452"/>
      <c r="R234" s="452"/>
      <c r="S234" s="452"/>
      <c r="T234" s="452"/>
      <c r="U234" s="452"/>
    </row>
    <row r="235" spans="1:21" x14ac:dyDescent="0.2">
      <c r="A235" s="204">
        <f t="shared" si="3"/>
        <v>212</v>
      </c>
      <c r="B235" s="451"/>
      <c r="C235" s="451"/>
      <c r="D235" s="451"/>
      <c r="E235" s="451"/>
      <c r="F235" s="451"/>
      <c r="G235" s="451"/>
      <c r="H235" s="451"/>
      <c r="I235" s="451"/>
      <c r="J235" s="451"/>
      <c r="K235" s="451"/>
      <c r="L235" s="451"/>
      <c r="M235" s="451"/>
      <c r="N235" s="451"/>
      <c r="O235" s="452"/>
      <c r="P235" s="452"/>
      <c r="Q235" s="452"/>
      <c r="R235" s="452"/>
      <c r="S235" s="452"/>
      <c r="T235" s="452"/>
      <c r="U235" s="452"/>
    </row>
    <row r="236" spans="1:21" x14ac:dyDescent="0.2">
      <c r="A236" s="204">
        <f t="shared" si="3"/>
        <v>213</v>
      </c>
      <c r="B236" s="451"/>
      <c r="C236" s="451"/>
      <c r="D236" s="451"/>
      <c r="E236" s="451"/>
      <c r="F236" s="451"/>
      <c r="G236" s="451"/>
      <c r="H236" s="451"/>
      <c r="I236" s="451"/>
      <c r="J236" s="451"/>
      <c r="K236" s="451"/>
      <c r="L236" s="451"/>
      <c r="M236" s="451"/>
      <c r="N236" s="451"/>
      <c r="O236" s="452"/>
      <c r="P236" s="452"/>
      <c r="Q236" s="452"/>
      <c r="R236" s="452"/>
      <c r="S236" s="452"/>
      <c r="T236" s="452"/>
      <c r="U236" s="452"/>
    </row>
    <row r="237" spans="1:21" x14ac:dyDescent="0.2">
      <c r="A237" s="204">
        <f t="shared" si="3"/>
        <v>214</v>
      </c>
      <c r="B237" s="451"/>
      <c r="C237" s="451"/>
      <c r="D237" s="451"/>
      <c r="E237" s="451"/>
      <c r="F237" s="451"/>
      <c r="G237" s="451"/>
      <c r="H237" s="451"/>
      <c r="I237" s="451"/>
      <c r="J237" s="451"/>
      <c r="K237" s="451"/>
      <c r="L237" s="451"/>
      <c r="M237" s="451"/>
      <c r="N237" s="451"/>
      <c r="O237" s="452"/>
      <c r="P237" s="452"/>
      <c r="Q237" s="452"/>
      <c r="R237" s="452"/>
      <c r="S237" s="452"/>
      <c r="T237" s="452"/>
      <c r="U237" s="452"/>
    </row>
    <row r="238" spans="1:21" x14ac:dyDescent="0.2">
      <c r="A238" s="204">
        <f t="shared" si="3"/>
        <v>215</v>
      </c>
      <c r="B238" s="451"/>
      <c r="C238" s="451"/>
      <c r="D238" s="451"/>
      <c r="E238" s="451"/>
      <c r="F238" s="451"/>
      <c r="G238" s="451"/>
      <c r="H238" s="451"/>
      <c r="I238" s="451"/>
      <c r="J238" s="451"/>
      <c r="K238" s="451"/>
      <c r="L238" s="451"/>
      <c r="M238" s="451"/>
      <c r="N238" s="451"/>
      <c r="O238" s="452"/>
      <c r="P238" s="452"/>
      <c r="Q238" s="452"/>
      <c r="R238" s="452"/>
      <c r="S238" s="452"/>
      <c r="T238" s="452"/>
      <c r="U238" s="452"/>
    </row>
    <row r="239" spans="1:21" x14ac:dyDescent="0.2">
      <c r="A239" s="204">
        <f t="shared" si="3"/>
        <v>216</v>
      </c>
      <c r="B239" s="451"/>
      <c r="C239" s="451"/>
      <c r="D239" s="451"/>
      <c r="E239" s="451"/>
      <c r="F239" s="451"/>
      <c r="G239" s="451"/>
      <c r="H239" s="451"/>
      <c r="I239" s="451"/>
      <c r="J239" s="451"/>
      <c r="K239" s="451"/>
      <c r="L239" s="451"/>
      <c r="M239" s="451"/>
      <c r="N239" s="451"/>
      <c r="O239" s="452"/>
      <c r="P239" s="452"/>
      <c r="Q239" s="452"/>
      <c r="R239" s="452"/>
      <c r="S239" s="452"/>
      <c r="T239" s="452"/>
      <c r="U239" s="452"/>
    </row>
    <row r="240" spans="1:21" x14ac:dyDescent="0.2">
      <c r="A240" s="204">
        <f t="shared" si="3"/>
        <v>217</v>
      </c>
      <c r="B240" s="451"/>
      <c r="C240" s="451"/>
      <c r="D240" s="451"/>
      <c r="E240" s="451"/>
      <c r="F240" s="451"/>
      <c r="G240" s="451"/>
      <c r="H240" s="451"/>
      <c r="I240" s="451"/>
      <c r="J240" s="451"/>
      <c r="K240" s="451"/>
      <c r="L240" s="451"/>
      <c r="M240" s="451"/>
      <c r="N240" s="451"/>
      <c r="O240" s="452"/>
      <c r="P240" s="452"/>
      <c r="Q240" s="452"/>
      <c r="R240" s="452"/>
      <c r="S240" s="452"/>
      <c r="T240" s="452"/>
      <c r="U240" s="452"/>
    </row>
    <row r="241" spans="1:21" x14ac:dyDescent="0.2">
      <c r="A241" s="204">
        <f t="shared" si="3"/>
        <v>218</v>
      </c>
      <c r="B241" s="451"/>
      <c r="C241" s="451"/>
      <c r="D241" s="451"/>
      <c r="E241" s="451"/>
      <c r="F241" s="451"/>
      <c r="G241" s="451"/>
      <c r="H241" s="451"/>
      <c r="I241" s="451"/>
      <c r="J241" s="451"/>
      <c r="K241" s="451"/>
      <c r="L241" s="451"/>
      <c r="M241" s="451"/>
      <c r="N241" s="451"/>
      <c r="O241" s="452"/>
      <c r="P241" s="452"/>
      <c r="Q241" s="452"/>
      <c r="R241" s="452"/>
      <c r="S241" s="452"/>
      <c r="T241" s="452"/>
      <c r="U241" s="452"/>
    </row>
    <row r="242" spans="1:21" x14ac:dyDescent="0.2">
      <c r="A242" s="204">
        <f t="shared" si="3"/>
        <v>219</v>
      </c>
      <c r="B242" s="451"/>
      <c r="C242" s="451"/>
      <c r="D242" s="451"/>
      <c r="E242" s="451"/>
      <c r="F242" s="451"/>
      <c r="G242" s="451"/>
      <c r="H242" s="451"/>
      <c r="I242" s="451"/>
      <c r="J242" s="451"/>
      <c r="K242" s="451"/>
      <c r="L242" s="451"/>
      <c r="M242" s="451"/>
      <c r="N242" s="451"/>
      <c r="O242" s="452"/>
      <c r="P242" s="452"/>
      <c r="Q242" s="452"/>
      <c r="R242" s="452"/>
      <c r="S242" s="452"/>
      <c r="T242" s="452"/>
      <c r="U242" s="452"/>
    </row>
    <row r="243" spans="1:21" x14ac:dyDescent="0.2">
      <c r="A243" s="204">
        <f t="shared" si="3"/>
        <v>220</v>
      </c>
      <c r="B243" s="451"/>
      <c r="C243" s="451"/>
      <c r="D243" s="451"/>
      <c r="E243" s="451"/>
      <c r="F243" s="451"/>
      <c r="G243" s="451"/>
      <c r="H243" s="451"/>
      <c r="I243" s="451"/>
      <c r="J243" s="451"/>
      <c r="K243" s="451"/>
      <c r="L243" s="451"/>
      <c r="M243" s="451"/>
      <c r="N243" s="451"/>
      <c r="O243" s="452"/>
      <c r="P243" s="452"/>
      <c r="Q243" s="452"/>
      <c r="R243" s="452"/>
      <c r="S243" s="452"/>
      <c r="T243" s="452"/>
      <c r="U243" s="452"/>
    </row>
    <row r="244" spans="1:21" x14ac:dyDescent="0.2">
      <c r="A244" s="204">
        <f t="shared" si="3"/>
        <v>221</v>
      </c>
      <c r="B244" s="451"/>
      <c r="C244" s="451"/>
      <c r="D244" s="451"/>
      <c r="E244" s="451"/>
      <c r="F244" s="451"/>
      <c r="G244" s="451"/>
      <c r="H244" s="451"/>
      <c r="I244" s="451"/>
      <c r="J244" s="451"/>
      <c r="K244" s="451"/>
      <c r="L244" s="451"/>
      <c r="M244" s="451"/>
      <c r="N244" s="451"/>
      <c r="O244" s="452"/>
      <c r="P244" s="452"/>
      <c r="Q244" s="452"/>
      <c r="R244" s="452"/>
      <c r="S244" s="452"/>
      <c r="T244" s="452"/>
      <c r="U244" s="452"/>
    </row>
    <row r="245" spans="1:21" x14ac:dyDescent="0.2">
      <c r="A245" s="204">
        <f t="shared" si="3"/>
        <v>222</v>
      </c>
      <c r="B245" s="451"/>
      <c r="C245" s="451"/>
      <c r="D245" s="451"/>
      <c r="E245" s="451"/>
      <c r="F245" s="451"/>
      <c r="G245" s="451"/>
      <c r="H245" s="451"/>
      <c r="I245" s="451"/>
      <c r="J245" s="451"/>
      <c r="K245" s="451"/>
      <c r="L245" s="451"/>
      <c r="M245" s="451"/>
      <c r="N245" s="451"/>
      <c r="O245" s="452"/>
      <c r="P245" s="452"/>
      <c r="Q245" s="452"/>
      <c r="R245" s="452"/>
      <c r="S245" s="452"/>
      <c r="T245" s="452"/>
      <c r="U245" s="452"/>
    </row>
    <row r="246" spans="1:21" x14ac:dyDescent="0.2">
      <c r="A246" s="204">
        <f t="shared" si="3"/>
        <v>223</v>
      </c>
      <c r="B246" s="451"/>
      <c r="C246" s="451"/>
      <c r="D246" s="451"/>
      <c r="E246" s="451"/>
      <c r="F246" s="451"/>
      <c r="G246" s="451"/>
      <c r="H246" s="451"/>
      <c r="I246" s="451"/>
      <c r="J246" s="451"/>
      <c r="K246" s="451"/>
      <c r="L246" s="451"/>
      <c r="M246" s="451"/>
      <c r="N246" s="451"/>
      <c r="O246" s="452"/>
      <c r="P246" s="452"/>
      <c r="Q246" s="452"/>
      <c r="R246" s="452"/>
      <c r="S246" s="452"/>
      <c r="T246" s="452"/>
      <c r="U246" s="452"/>
    </row>
    <row r="247" spans="1:21" x14ac:dyDescent="0.2">
      <c r="A247" s="204">
        <f t="shared" si="3"/>
        <v>224</v>
      </c>
      <c r="B247" s="451"/>
      <c r="C247" s="451"/>
      <c r="D247" s="451"/>
      <c r="E247" s="451"/>
      <c r="F247" s="451"/>
      <c r="G247" s="451"/>
      <c r="H247" s="451"/>
      <c r="I247" s="451"/>
      <c r="J247" s="451"/>
      <c r="K247" s="451"/>
      <c r="L247" s="451"/>
      <c r="M247" s="451"/>
      <c r="N247" s="451"/>
      <c r="O247" s="452"/>
      <c r="P247" s="452"/>
      <c r="Q247" s="452"/>
      <c r="R247" s="452"/>
      <c r="S247" s="452"/>
      <c r="T247" s="452"/>
      <c r="U247" s="452"/>
    </row>
    <row r="248" spans="1:21" x14ac:dyDescent="0.2">
      <c r="A248" s="204">
        <f t="shared" si="3"/>
        <v>225</v>
      </c>
      <c r="B248" s="451"/>
      <c r="C248" s="451"/>
      <c r="D248" s="451"/>
      <c r="E248" s="451"/>
      <c r="F248" s="451"/>
      <c r="G248" s="451"/>
      <c r="H248" s="451"/>
      <c r="I248" s="451"/>
      <c r="J248" s="451"/>
      <c r="K248" s="451"/>
      <c r="L248" s="451"/>
      <c r="M248" s="451"/>
      <c r="N248" s="451"/>
      <c r="O248" s="452"/>
      <c r="P248" s="452"/>
      <c r="Q248" s="452"/>
      <c r="R248" s="452"/>
      <c r="S248" s="452"/>
      <c r="T248" s="452"/>
      <c r="U248" s="452"/>
    </row>
    <row r="249" spans="1:21" x14ac:dyDescent="0.2">
      <c r="A249" s="204">
        <f t="shared" si="3"/>
        <v>226</v>
      </c>
      <c r="B249" s="451"/>
      <c r="C249" s="451"/>
      <c r="D249" s="451"/>
      <c r="E249" s="451"/>
      <c r="F249" s="451"/>
      <c r="G249" s="451"/>
      <c r="H249" s="451"/>
      <c r="I249" s="451"/>
      <c r="J249" s="451"/>
      <c r="K249" s="451"/>
      <c r="L249" s="451"/>
      <c r="M249" s="451"/>
      <c r="N249" s="451"/>
      <c r="O249" s="452"/>
      <c r="P249" s="452"/>
      <c r="Q249" s="452"/>
      <c r="R249" s="452"/>
      <c r="S249" s="452"/>
      <c r="T249" s="452"/>
      <c r="U249" s="452"/>
    </row>
    <row r="250" spans="1:21" x14ac:dyDescent="0.2">
      <c r="A250" s="204">
        <f t="shared" si="3"/>
        <v>227</v>
      </c>
      <c r="B250" s="451"/>
      <c r="C250" s="451"/>
      <c r="D250" s="451"/>
      <c r="E250" s="451"/>
      <c r="F250" s="451"/>
      <c r="G250" s="451"/>
      <c r="H250" s="451"/>
      <c r="I250" s="451"/>
      <c r="J250" s="451"/>
      <c r="K250" s="451"/>
      <c r="L250" s="451"/>
      <c r="M250" s="451"/>
      <c r="N250" s="451"/>
      <c r="O250" s="452"/>
      <c r="P250" s="452"/>
      <c r="Q250" s="452"/>
      <c r="R250" s="452"/>
      <c r="S250" s="452"/>
      <c r="T250" s="452"/>
      <c r="U250" s="452"/>
    </row>
    <row r="251" spans="1:21" x14ac:dyDescent="0.2">
      <c r="A251" s="204">
        <f t="shared" si="3"/>
        <v>228</v>
      </c>
      <c r="B251" s="451"/>
      <c r="C251" s="451"/>
      <c r="D251" s="451"/>
      <c r="E251" s="451"/>
      <c r="F251" s="451"/>
      <c r="G251" s="451"/>
      <c r="H251" s="451"/>
      <c r="I251" s="451"/>
      <c r="J251" s="451"/>
      <c r="K251" s="451"/>
      <c r="L251" s="451"/>
      <c r="M251" s="451"/>
      <c r="N251" s="451"/>
      <c r="O251" s="452"/>
      <c r="P251" s="452"/>
      <c r="Q251" s="452"/>
      <c r="R251" s="452"/>
      <c r="S251" s="452"/>
      <c r="T251" s="452"/>
      <c r="U251" s="452"/>
    </row>
    <row r="252" spans="1:21" x14ac:dyDescent="0.2">
      <c r="A252" s="204">
        <f t="shared" si="3"/>
        <v>229</v>
      </c>
      <c r="B252" s="451"/>
      <c r="C252" s="451"/>
      <c r="D252" s="451"/>
      <c r="E252" s="451"/>
      <c r="F252" s="451"/>
      <c r="G252" s="451"/>
      <c r="H252" s="451"/>
      <c r="I252" s="451"/>
      <c r="J252" s="451"/>
      <c r="K252" s="451"/>
      <c r="L252" s="451"/>
      <c r="M252" s="451"/>
      <c r="N252" s="451"/>
      <c r="O252" s="452"/>
      <c r="P252" s="452"/>
      <c r="Q252" s="452"/>
      <c r="R252" s="452"/>
      <c r="S252" s="452"/>
      <c r="T252" s="452"/>
      <c r="U252" s="452"/>
    </row>
    <row r="253" spans="1:21" x14ac:dyDescent="0.2">
      <c r="A253" s="204">
        <f t="shared" si="3"/>
        <v>230</v>
      </c>
      <c r="B253" s="451"/>
      <c r="C253" s="451"/>
      <c r="D253" s="451"/>
      <c r="E253" s="451"/>
      <c r="F253" s="451"/>
      <c r="G253" s="451"/>
      <c r="H253" s="451"/>
      <c r="I253" s="451"/>
      <c r="J253" s="451"/>
      <c r="K253" s="451"/>
      <c r="L253" s="451"/>
      <c r="M253" s="451"/>
      <c r="N253" s="451"/>
      <c r="O253" s="452"/>
      <c r="P253" s="452"/>
      <c r="Q253" s="452"/>
      <c r="R253" s="452"/>
      <c r="S253" s="452"/>
      <c r="T253" s="452"/>
      <c r="U253" s="452"/>
    </row>
    <row r="254" spans="1:21" x14ac:dyDescent="0.2">
      <c r="A254" s="204">
        <f t="shared" si="3"/>
        <v>231</v>
      </c>
      <c r="B254" s="451"/>
      <c r="C254" s="451"/>
      <c r="D254" s="451"/>
      <c r="E254" s="451"/>
      <c r="F254" s="451"/>
      <c r="G254" s="451"/>
      <c r="H254" s="451"/>
      <c r="I254" s="451"/>
      <c r="J254" s="451"/>
      <c r="K254" s="451"/>
      <c r="L254" s="451"/>
      <c r="M254" s="451"/>
      <c r="N254" s="451"/>
      <c r="O254" s="452"/>
      <c r="P254" s="452"/>
      <c r="Q254" s="452"/>
      <c r="R254" s="452"/>
      <c r="S254" s="452"/>
      <c r="T254" s="452"/>
      <c r="U254" s="452"/>
    </row>
    <row r="255" spans="1:21" x14ac:dyDescent="0.2">
      <c r="A255" s="204">
        <f t="shared" si="3"/>
        <v>232</v>
      </c>
      <c r="B255" s="451"/>
      <c r="C255" s="451"/>
      <c r="D255" s="451"/>
      <c r="E255" s="451"/>
      <c r="F255" s="451"/>
      <c r="G255" s="451"/>
      <c r="H255" s="451"/>
      <c r="I255" s="451"/>
      <c r="J255" s="451"/>
      <c r="K255" s="451"/>
      <c r="L255" s="451"/>
      <c r="M255" s="451"/>
      <c r="N255" s="451"/>
      <c r="O255" s="452"/>
      <c r="P255" s="452"/>
      <c r="Q255" s="452"/>
      <c r="R255" s="452"/>
      <c r="S255" s="452"/>
      <c r="T255" s="452"/>
      <c r="U255" s="452"/>
    </row>
    <row r="256" spans="1:21" x14ac:dyDescent="0.2">
      <c r="A256" s="204">
        <f t="shared" si="3"/>
        <v>233</v>
      </c>
      <c r="B256" s="451"/>
      <c r="C256" s="451"/>
      <c r="D256" s="451"/>
      <c r="E256" s="451"/>
      <c r="F256" s="451"/>
      <c r="G256" s="451"/>
      <c r="H256" s="451"/>
      <c r="I256" s="451"/>
      <c r="J256" s="451"/>
      <c r="K256" s="451"/>
      <c r="L256" s="451"/>
      <c r="M256" s="451"/>
      <c r="N256" s="451"/>
      <c r="O256" s="452"/>
      <c r="P256" s="452"/>
      <c r="Q256" s="452"/>
      <c r="R256" s="452"/>
      <c r="S256" s="452"/>
      <c r="T256" s="452"/>
      <c r="U256" s="452"/>
    </row>
    <row r="257" spans="1:21" x14ac:dyDescent="0.2">
      <c r="A257" s="204">
        <f t="shared" si="3"/>
        <v>234</v>
      </c>
      <c r="B257" s="451"/>
      <c r="C257" s="451"/>
      <c r="D257" s="451"/>
      <c r="E257" s="451"/>
      <c r="F257" s="451"/>
      <c r="G257" s="451"/>
      <c r="H257" s="451"/>
      <c r="I257" s="451"/>
      <c r="J257" s="451"/>
      <c r="K257" s="451"/>
      <c r="L257" s="451"/>
      <c r="M257" s="451"/>
      <c r="N257" s="451"/>
      <c r="O257" s="452"/>
      <c r="P257" s="452"/>
      <c r="Q257" s="452"/>
      <c r="R257" s="452"/>
      <c r="S257" s="452"/>
      <c r="T257" s="452"/>
      <c r="U257" s="452"/>
    </row>
    <row r="258" spans="1:21" x14ac:dyDescent="0.2">
      <c r="A258" s="204">
        <f t="shared" si="3"/>
        <v>235</v>
      </c>
      <c r="B258" s="451"/>
      <c r="C258" s="451"/>
      <c r="D258" s="451"/>
      <c r="E258" s="451"/>
      <c r="F258" s="451"/>
      <c r="G258" s="451"/>
      <c r="H258" s="451"/>
      <c r="I258" s="451"/>
      <c r="J258" s="451"/>
      <c r="K258" s="451"/>
      <c r="L258" s="451"/>
      <c r="M258" s="451"/>
      <c r="N258" s="451"/>
      <c r="O258" s="452"/>
      <c r="P258" s="452"/>
      <c r="Q258" s="452"/>
      <c r="R258" s="452"/>
      <c r="S258" s="452"/>
      <c r="T258" s="452"/>
      <c r="U258" s="452"/>
    </row>
    <row r="259" spans="1:21" x14ac:dyDescent="0.2">
      <c r="A259" s="204">
        <f t="shared" si="3"/>
        <v>236</v>
      </c>
      <c r="B259" s="451"/>
      <c r="C259" s="451"/>
      <c r="D259" s="451"/>
      <c r="E259" s="451"/>
      <c r="F259" s="451"/>
      <c r="G259" s="451"/>
      <c r="H259" s="451"/>
      <c r="I259" s="451"/>
      <c r="J259" s="451"/>
      <c r="K259" s="451"/>
      <c r="L259" s="451"/>
      <c r="M259" s="451"/>
      <c r="N259" s="451"/>
      <c r="O259" s="452"/>
      <c r="P259" s="452"/>
      <c r="Q259" s="452"/>
      <c r="R259" s="452"/>
      <c r="S259" s="452"/>
      <c r="T259" s="452"/>
      <c r="U259" s="452"/>
    </row>
    <row r="260" spans="1:21" x14ac:dyDescent="0.2">
      <c r="A260" s="204">
        <f t="shared" si="3"/>
        <v>237</v>
      </c>
      <c r="B260" s="451"/>
      <c r="C260" s="451"/>
      <c r="D260" s="451"/>
      <c r="E260" s="451"/>
      <c r="F260" s="451"/>
      <c r="G260" s="451"/>
      <c r="H260" s="451"/>
      <c r="I260" s="451"/>
      <c r="J260" s="451"/>
      <c r="K260" s="451"/>
      <c r="L260" s="451"/>
      <c r="M260" s="451"/>
      <c r="N260" s="451"/>
      <c r="O260" s="452"/>
      <c r="P260" s="452"/>
      <c r="Q260" s="452"/>
      <c r="R260" s="452"/>
      <c r="S260" s="452"/>
      <c r="T260" s="452"/>
      <c r="U260" s="452"/>
    </row>
    <row r="261" spans="1:21" x14ac:dyDescent="0.2">
      <c r="A261" s="204">
        <f t="shared" si="3"/>
        <v>238</v>
      </c>
      <c r="B261" s="451"/>
      <c r="C261" s="451"/>
      <c r="D261" s="451"/>
      <c r="E261" s="451"/>
      <c r="F261" s="451"/>
      <c r="G261" s="451"/>
      <c r="H261" s="451"/>
      <c r="I261" s="451"/>
      <c r="J261" s="451"/>
      <c r="K261" s="451"/>
      <c r="L261" s="451"/>
      <c r="M261" s="451"/>
      <c r="N261" s="451"/>
      <c r="O261" s="452"/>
      <c r="P261" s="452"/>
      <c r="Q261" s="452"/>
      <c r="R261" s="452"/>
      <c r="S261" s="452"/>
      <c r="T261" s="452"/>
      <c r="U261" s="452"/>
    </row>
    <row r="262" spans="1:21" x14ac:dyDescent="0.2">
      <c r="A262" s="204">
        <f t="shared" si="3"/>
        <v>239</v>
      </c>
      <c r="B262" s="451"/>
      <c r="C262" s="451"/>
      <c r="D262" s="451"/>
      <c r="E262" s="451"/>
      <c r="F262" s="451"/>
      <c r="G262" s="451"/>
      <c r="H262" s="451"/>
      <c r="I262" s="451"/>
      <c r="J262" s="451"/>
      <c r="K262" s="451"/>
      <c r="L262" s="451"/>
      <c r="M262" s="451"/>
      <c r="N262" s="451"/>
      <c r="O262" s="452"/>
      <c r="P262" s="452"/>
      <c r="Q262" s="452"/>
      <c r="R262" s="452"/>
      <c r="S262" s="452"/>
      <c r="T262" s="452"/>
      <c r="U262" s="452"/>
    </row>
    <row r="263" spans="1:21" x14ac:dyDescent="0.2">
      <c r="A263" s="204">
        <f t="shared" si="3"/>
        <v>240</v>
      </c>
      <c r="B263" s="451"/>
      <c r="C263" s="451"/>
      <c r="D263" s="451"/>
      <c r="E263" s="451"/>
      <c r="F263" s="451"/>
      <c r="G263" s="451"/>
      <c r="H263" s="451"/>
      <c r="I263" s="451"/>
      <c r="J263" s="451"/>
      <c r="K263" s="451"/>
      <c r="L263" s="451"/>
      <c r="M263" s="451"/>
      <c r="N263" s="451"/>
      <c r="O263" s="452"/>
      <c r="P263" s="452"/>
      <c r="Q263" s="452"/>
      <c r="R263" s="452"/>
      <c r="S263" s="452"/>
      <c r="T263" s="452"/>
      <c r="U263" s="452"/>
    </row>
    <row r="264" spans="1:21" x14ac:dyDescent="0.2">
      <c r="A264" s="204">
        <f t="shared" si="3"/>
        <v>241</v>
      </c>
      <c r="B264" s="451"/>
      <c r="C264" s="451"/>
      <c r="D264" s="451"/>
      <c r="E264" s="451"/>
      <c r="F264" s="451"/>
      <c r="G264" s="451"/>
      <c r="H264" s="451"/>
      <c r="I264" s="451"/>
      <c r="J264" s="451"/>
      <c r="K264" s="451"/>
      <c r="L264" s="451"/>
      <c r="M264" s="451"/>
      <c r="N264" s="451"/>
      <c r="O264" s="452"/>
      <c r="P264" s="452"/>
      <c r="Q264" s="452"/>
      <c r="R264" s="452"/>
      <c r="S264" s="452"/>
      <c r="T264" s="452"/>
      <c r="U264" s="452"/>
    </row>
    <row r="265" spans="1:21" x14ac:dyDescent="0.2">
      <c r="A265" s="204">
        <f t="shared" si="3"/>
        <v>242</v>
      </c>
      <c r="B265" s="451"/>
      <c r="C265" s="451"/>
      <c r="D265" s="451"/>
      <c r="E265" s="451"/>
      <c r="F265" s="451"/>
      <c r="G265" s="451"/>
      <c r="H265" s="451"/>
      <c r="I265" s="451"/>
      <c r="J265" s="451"/>
      <c r="K265" s="451"/>
      <c r="L265" s="451"/>
      <c r="M265" s="451"/>
      <c r="N265" s="451"/>
      <c r="O265" s="452"/>
      <c r="P265" s="452"/>
      <c r="Q265" s="452"/>
      <c r="R265" s="452"/>
      <c r="S265" s="452"/>
      <c r="T265" s="452"/>
      <c r="U265" s="452"/>
    </row>
    <row r="266" spans="1:21" x14ac:dyDescent="0.2">
      <c r="A266" s="204">
        <f t="shared" si="3"/>
        <v>243</v>
      </c>
      <c r="B266" s="451"/>
      <c r="C266" s="451"/>
      <c r="D266" s="451"/>
      <c r="E266" s="451"/>
      <c r="F266" s="451"/>
      <c r="G266" s="451"/>
      <c r="H266" s="451"/>
      <c r="I266" s="451"/>
      <c r="J266" s="451"/>
      <c r="K266" s="451"/>
      <c r="L266" s="451"/>
      <c r="M266" s="451"/>
      <c r="N266" s="451"/>
      <c r="O266" s="452"/>
      <c r="P266" s="452"/>
      <c r="Q266" s="452"/>
      <c r="R266" s="452"/>
      <c r="S266" s="452"/>
      <c r="T266" s="452"/>
      <c r="U266" s="452"/>
    </row>
    <row r="267" spans="1:21" x14ac:dyDescent="0.2">
      <c r="A267" s="204">
        <f t="shared" si="3"/>
        <v>244</v>
      </c>
      <c r="B267" s="451"/>
      <c r="C267" s="451"/>
      <c r="D267" s="451"/>
      <c r="E267" s="451"/>
      <c r="F267" s="451"/>
      <c r="G267" s="451"/>
      <c r="H267" s="451"/>
      <c r="I267" s="451"/>
      <c r="J267" s="451"/>
      <c r="K267" s="451"/>
      <c r="L267" s="451"/>
      <c r="M267" s="451"/>
      <c r="N267" s="451"/>
      <c r="O267" s="452"/>
      <c r="P267" s="452"/>
      <c r="Q267" s="452"/>
      <c r="R267" s="452"/>
      <c r="S267" s="452"/>
      <c r="T267" s="452"/>
      <c r="U267" s="452"/>
    </row>
    <row r="268" spans="1:21" x14ac:dyDescent="0.2">
      <c r="A268" s="204">
        <f t="shared" si="3"/>
        <v>245</v>
      </c>
      <c r="B268" s="451"/>
      <c r="C268" s="451"/>
      <c r="D268" s="451"/>
      <c r="E268" s="451"/>
      <c r="F268" s="451"/>
      <c r="G268" s="451"/>
      <c r="H268" s="451"/>
      <c r="I268" s="451"/>
      <c r="J268" s="451"/>
      <c r="K268" s="451"/>
      <c r="L268" s="451"/>
      <c r="M268" s="451"/>
      <c r="N268" s="451"/>
      <c r="O268" s="452"/>
      <c r="P268" s="452"/>
      <c r="Q268" s="452"/>
      <c r="R268" s="452"/>
      <c r="S268" s="452"/>
      <c r="T268" s="452"/>
      <c r="U268" s="452"/>
    </row>
    <row r="269" spans="1:21" x14ac:dyDescent="0.2">
      <c r="A269" s="204">
        <f t="shared" si="3"/>
        <v>246</v>
      </c>
      <c r="B269" s="451"/>
      <c r="C269" s="451"/>
      <c r="D269" s="451"/>
      <c r="E269" s="451"/>
      <c r="F269" s="451"/>
      <c r="G269" s="451"/>
      <c r="H269" s="451"/>
      <c r="I269" s="451"/>
      <c r="J269" s="451"/>
      <c r="K269" s="451"/>
      <c r="L269" s="451"/>
      <c r="M269" s="451"/>
      <c r="N269" s="451"/>
      <c r="O269" s="452"/>
      <c r="P269" s="452"/>
      <c r="Q269" s="452"/>
      <c r="R269" s="452"/>
      <c r="S269" s="452"/>
      <c r="T269" s="452"/>
      <c r="U269" s="452"/>
    </row>
    <row r="270" spans="1:21" x14ac:dyDescent="0.2">
      <c r="A270" s="204">
        <f t="shared" si="3"/>
        <v>247</v>
      </c>
      <c r="B270" s="451"/>
      <c r="C270" s="451"/>
      <c r="D270" s="451"/>
      <c r="E270" s="451"/>
      <c r="F270" s="451"/>
      <c r="G270" s="451"/>
      <c r="H270" s="451"/>
      <c r="I270" s="451"/>
      <c r="J270" s="451"/>
      <c r="K270" s="451"/>
      <c r="L270" s="451"/>
      <c r="M270" s="451"/>
      <c r="N270" s="451"/>
      <c r="O270" s="452"/>
      <c r="P270" s="452"/>
      <c r="Q270" s="452"/>
      <c r="R270" s="452"/>
      <c r="S270" s="452"/>
      <c r="T270" s="452"/>
      <c r="U270" s="452"/>
    </row>
    <row r="271" spans="1:21" x14ac:dyDescent="0.2">
      <c r="A271" s="204">
        <f t="shared" si="3"/>
        <v>248</v>
      </c>
      <c r="B271" s="451"/>
      <c r="C271" s="451"/>
      <c r="D271" s="451"/>
      <c r="E271" s="451"/>
      <c r="F271" s="451"/>
      <c r="G271" s="451"/>
      <c r="H271" s="451"/>
      <c r="I271" s="451"/>
      <c r="J271" s="451"/>
      <c r="K271" s="451"/>
      <c r="L271" s="451"/>
      <c r="M271" s="451"/>
      <c r="N271" s="451"/>
      <c r="O271" s="452"/>
      <c r="P271" s="452"/>
      <c r="Q271" s="452"/>
      <c r="R271" s="452"/>
      <c r="S271" s="452"/>
      <c r="T271" s="452"/>
      <c r="U271" s="452"/>
    </row>
    <row r="272" spans="1:21" x14ac:dyDescent="0.2">
      <c r="A272" s="204">
        <f t="shared" si="3"/>
        <v>249</v>
      </c>
      <c r="B272" s="451"/>
      <c r="C272" s="451"/>
      <c r="D272" s="451"/>
      <c r="E272" s="451"/>
      <c r="F272" s="451"/>
      <c r="G272" s="451"/>
      <c r="H272" s="451"/>
      <c r="I272" s="451"/>
      <c r="J272" s="451"/>
      <c r="K272" s="451"/>
      <c r="L272" s="451"/>
      <c r="M272" s="451"/>
      <c r="N272" s="451"/>
      <c r="O272" s="452"/>
      <c r="P272" s="452"/>
      <c r="Q272" s="452"/>
      <c r="R272" s="452"/>
      <c r="S272" s="452"/>
      <c r="T272" s="452"/>
      <c r="U272" s="452"/>
    </row>
    <row r="273" spans="1:21" x14ac:dyDescent="0.2">
      <c r="A273" s="204">
        <f t="shared" si="3"/>
        <v>250</v>
      </c>
      <c r="B273" s="451"/>
      <c r="C273" s="451"/>
      <c r="D273" s="451"/>
      <c r="E273" s="451"/>
      <c r="F273" s="451"/>
      <c r="G273" s="451"/>
      <c r="H273" s="451"/>
      <c r="I273" s="451"/>
      <c r="J273" s="451"/>
      <c r="K273" s="451"/>
      <c r="L273" s="451"/>
      <c r="M273" s="451"/>
      <c r="N273" s="451"/>
      <c r="O273" s="452"/>
      <c r="P273" s="452"/>
      <c r="Q273" s="452"/>
      <c r="R273" s="452"/>
      <c r="S273" s="452"/>
      <c r="T273" s="452"/>
      <c r="U273" s="452"/>
    </row>
    <row r="274" spans="1:21" x14ac:dyDescent="0.2">
      <c r="A274" s="204">
        <f t="shared" si="3"/>
        <v>251</v>
      </c>
      <c r="B274" s="451"/>
      <c r="C274" s="451"/>
      <c r="D274" s="451"/>
      <c r="E274" s="451"/>
      <c r="F274" s="451"/>
      <c r="G274" s="451"/>
      <c r="H274" s="451"/>
      <c r="I274" s="451"/>
      <c r="J274" s="451"/>
      <c r="K274" s="451"/>
      <c r="L274" s="451"/>
      <c r="M274" s="451"/>
      <c r="N274" s="451"/>
      <c r="O274" s="452"/>
      <c r="P274" s="452"/>
      <c r="Q274" s="452"/>
      <c r="R274" s="452"/>
      <c r="S274" s="452"/>
      <c r="T274" s="452"/>
      <c r="U274" s="452"/>
    </row>
    <row r="275" spans="1:21" x14ac:dyDescent="0.2">
      <c r="A275" s="204">
        <f t="shared" si="3"/>
        <v>252</v>
      </c>
      <c r="B275" s="451"/>
      <c r="C275" s="451"/>
      <c r="D275" s="451"/>
      <c r="E275" s="451"/>
      <c r="F275" s="451"/>
      <c r="G275" s="451"/>
      <c r="H275" s="451"/>
      <c r="I275" s="451"/>
      <c r="J275" s="451"/>
      <c r="K275" s="451"/>
      <c r="L275" s="451"/>
      <c r="M275" s="451"/>
      <c r="N275" s="451"/>
      <c r="O275" s="452"/>
      <c r="P275" s="452"/>
      <c r="Q275" s="452"/>
      <c r="R275" s="452"/>
      <c r="S275" s="452"/>
      <c r="T275" s="452"/>
      <c r="U275" s="452"/>
    </row>
    <row r="276" spans="1:21" x14ac:dyDescent="0.2">
      <c r="A276" s="204">
        <f t="shared" si="3"/>
        <v>253</v>
      </c>
      <c r="B276" s="451"/>
      <c r="C276" s="451"/>
      <c r="D276" s="451"/>
      <c r="E276" s="451"/>
      <c r="F276" s="451"/>
      <c r="G276" s="451"/>
      <c r="H276" s="451"/>
      <c r="I276" s="451"/>
      <c r="J276" s="451"/>
      <c r="K276" s="451"/>
      <c r="L276" s="451"/>
      <c r="M276" s="451"/>
      <c r="N276" s="451"/>
      <c r="O276" s="452"/>
      <c r="P276" s="452"/>
      <c r="Q276" s="452"/>
      <c r="R276" s="452"/>
      <c r="S276" s="452"/>
      <c r="T276" s="452"/>
      <c r="U276" s="452"/>
    </row>
    <row r="277" spans="1:21" x14ac:dyDescent="0.2">
      <c r="A277" s="204">
        <f t="shared" si="3"/>
        <v>254</v>
      </c>
      <c r="B277" s="451"/>
      <c r="C277" s="451"/>
      <c r="D277" s="451"/>
      <c r="E277" s="451"/>
      <c r="F277" s="451"/>
      <c r="G277" s="451"/>
      <c r="H277" s="451"/>
      <c r="I277" s="451"/>
      <c r="J277" s="451"/>
      <c r="K277" s="451"/>
      <c r="L277" s="451"/>
      <c r="M277" s="451"/>
      <c r="N277" s="451"/>
      <c r="O277" s="452"/>
      <c r="P277" s="452"/>
      <c r="Q277" s="452"/>
      <c r="R277" s="452"/>
      <c r="S277" s="452"/>
      <c r="T277" s="452"/>
      <c r="U277" s="452"/>
    </row>
    <row r="278" spans="1:21" x14ac:dyDescent="0.2">
      <c r="A278" s="204">
        <f t="shared" si="3"/>
        <v>255</v>
      </c>
      <c r="B278" s="451"/>
      <c r="C278" s="451"/>
      <c r="D278" s="451"/>
      <c r="E278" s="451"/>
      <c r="F278" s="451"/>
      <c r="G278" s="451"/>
      <c r="H278" s="451"/>
      <c r="I278" s="451"/>
      <c r="J278" s="451"/>
      <c r="K278" s="451"/>
      <c r="L278" s="451"/>
      <c r="M278" s="451"/>
      <c r="N278" s="451"/>
      <c r="O278" s="452"/>
      <c r="P278" s="452"/>
      <c r="Q278" s="452"/>
      <c r="R278" s="452"/>
      <c r="S278" s="452"/>
      <c r="T278" s="452"/>
      <c r="U278" s="452"/>
    </row>
    <row r="279" spans="1:21" x14ac:dyDescent="0.2">
      <c r="A279" s="204">
        <f t="shared" si="3"/>
        <v>256</v>
      </c>
      <c r="B279" s="451"/>
      <c r="C279" s="451"/>
      <c r="D279" s="451"/>
      <c r="E279" s="451"/>
      <c r="F279" s="451"/>
      <c r="G279" s="451"/>
      <c r="H279" s="451"/>
      <c r="I279" s="451"/>
      <c r="J279" s="451"/>
      <c r="K279" s="451"/>
      <c r="L279" s="451"/>
      <c r="M279" s="451"/>
      <c r="N279" s="451"/>
      <c r="O279" s="452"/>
      <c r="P279" s="452"/>
      <c r="Q279" s="452"/>
      <c r="R279" s="452"/>
      <c r="S279" s="452"/>
      <c r="T279" s="452"/>
      <c r="U279" s="452"/>
    </row>
    <row r="280" spans="1:21" x14ac:dyDescent="0.2">
      <c r="A280" s="204">
        <f t="shared" si="3"/>
        <v>257</v>
      </c>
      <c r="B280" s="451"/>
      <c r="C280" s="451"/>
      <c r="D280" s="451"/>
      <c r="E280" s="451"/>
      <c r="F280" s="451"/>
      <c r="G280" s="451"/>
      <c r="H280" s="451"/>
      <c r="I280" s="451"/>
      <c r="J280" s="451"/>
      <c r="K280" s="451"/>
      <c r="L280" s="451"/>
      <c r="M280" s="451"/>
      <c r="N280" s="451"/>
      <c r="O280" s="452"/>
      <c r="P280" s="452"/>
      <c r="Q280" s="452"/>
      <c r="R280" s="452"/>
      <c r="S280" s="452"/>
      <c r="T280" s="452"/>
      <c r="U280" s="452"/>
    </row>
    <row r="281" spans="1:21" x14ac:dyDescent="0.2">
      <c r="A281" s="204">
        <f t="shared" ref="A281:A344" si="4">A280+1</f>
        <v>258</v>
      </c>
      <c r="B281" s="451"/>
      <c r="C281" s="451"/>
      <c r="D281" s="451"/>
      <c r="E281" s="451"/>
      <c r="F281" s="451"/>
      <c r="G281" s="451"/>
      <c r="H281" s="451"/>
      <c r="I281" s="451"/>
      <c r="J281" s="451"/>
      <c r="K281" s="451"/>
      <c r="L281" s="451"/>
      <c r="M281" s="451"/>
      <c r="N281" s="451"/>
      <c r="O281" s="452"/>
      <c r="P281" s="452"/>
      <c r="Q281" s="452"/>
      <c r="R281" s="452"/>
      <c r="S281" s="452"/>
      <c r="T281" s="452"/>
      <c r="U281" s="452"/>
    </row>
    <row r="282" spans="1:21" x14ac:dyDescent="0.2">
      <c r="A282" s="204">
        <f t="shared" si="4"/>
        <v>259</v>
      </c>
      <c r="B282" s="451"/>
      <c r="C282" s="451"/>
      <c r="D282" s="451"/>
      <c r="E282" s="451"/>
      <c r="F282" s="451"/>
      <c r="G282" s="451"/>
      <c r="H282" s="451"/>
      <c r="I282" s="451"/>
      <c r="J282" s="451"/>
      <c r="K282" s="451"/>
      <c r="L282" s="451"/>
      <c r="M282" s="451"/>
      <c r="N282" s="451"/>
      <c r="O282" s="452"/>
      <c r="P282" s="452"/>
      <c r="Q282" s="452"/>
      <c r="R282" s="452"/>
      <c r="S282" s="452"/>
      <c r="T282" s="452"/>
      <c r="U282" s="452"/>
    </row>
    <row r="283" spans="1:21" x14ac:dyDescent="0.2">
      <c r="A283" s="204">
        <f t="shared" si="4"/>
        <v>260</v>
      </c>
      <c r="B283" s="451"/>
      <c r="C283" s="451"/>
      <c r="D283" s="451"/>
      <c r="E283" s="451"/>
      <c r="F283" s="451"/>
      <c r="G283" s="451"/>
      <c r="H283" s="451"/>
      <c r="I283" s="451"/>
      <c r="J283" s="451"/>
      <c r="K283" s="451"/>
      <c r="L283" s="451"/>
      <c r="M283" s="451"/>
      <c r="N283" s="451"/>
      <c r="O283" s="452"/>
      <c r="P283" s="452"/>
      <c r="Q283" s="452"/>
      <c r="R283" s="452"/>
      <c r="S283" s="452"/>
      <c r="T283" s="452"/>
      <c r="U283" s="452"/>
    </row>
    <row r="284" spans="1:21" x14ac:dyDescent="0.2">
      <c r="A284" s="204">
        <f t="shared" si="4"/>
        <v>261</v>
      </c>
      <c r="B284" s="451"/>
      <c r="C284" s="451"/>
      <c r="D284" s="451"/>
      <c r="E284" s="451"/>
      <c r="F284" s="451"/>
      <c r="G284" s="451"/>
      <c r="H284" s="451"/>
      <c r="I284" s="451"/>
      <c r="J284" s="451"/>
      <c r="K284" s="451"/>
      <c r="L284" s="451"/>
      <c r="M284" s="451"/>
      <c r="N284" s="451"/>
      <c r="O284" s="452"/>
      <c r="P284" s="452"/>
      <c r="Q284" s="452"/>
      <c r="R284" s="452"/>
      <c r="S284" s="452"/>
      <c r="T284" s="452"/>
      <c r="U284" s="452"/>
    </row>
    <row r="285" spans="1:21" x14ac:dyDescent="0.2">
      <c r="A285" s="204">
        <f t="shared" si="4"/>
        <v>262</v>
      </c>
      <c r="B285" s="451"/>
      <c r="C285" s="451"/>
      <c r="D285" s="451"/>
      <c r="E285" s="451"/>
      <c r="F285" s="451"/>
      <c r="G285" s="451"/>
      <c r="H285" s="451"/>
      <c r="I285" s="451"/>
      <c r="J285" s="451"/>
      <c r="K285" s="451"/>
      <c r="L285" s="451"/>
      <c r="M285" s="451"/>
      <c r="N285" s="451"/>
      <c r="O285" s="452"/>
      <c r="P285" s="452"/>
      <c r="Q285" s="452"/>
      <c r="R285" s="452"/>
      <c r="S285" s="452"/>
      <c r="T285" s="452"/>
      <c r="U285" s="452"/>
    </row>
    <row r="286" spans="1:21" x14ac:dyDescent="0.2">
      <c r="A286" s="204">
        <f t="shared" si="4"/>
        <v>263</v>
      </c>
      <c r="B286" s="451"/>
      <c r="C286" s="451"/>
      <c r="D286" s="451"/>
      <c r="E286" s="451"/>
      <c r="F286" s="451"/>
      <c r="G286" s="451"/>
      <c r="H286" s="451"/>
      <c r="I286" s="451"/>
      <c r="J286" s="451"/>
      <c r="K286" s="451"/>
      <c r="L286" s="451"/>
      <c r="M286" s="451"/>
      <c r="N286" s="451"/>
      <c r="O286" s="452"/>
      <c r="P286" s="452"/>
      <c r="Q286" s="452"/>
      <c r="R286" s="452"/>
      <c r="S286" s="452"/>
      <c r="T286" s="452"/>
      <c r="U286" s="452"/>
    </row>
    <row r="287" spans="1:21" x14ac:dyDescent="0.2">
      <c r="A287" s="204">
        <f t="shared" si="4"/>
        <v>264</v>
      </c>
      <c r="B287" s="451"/>
      <c r="C287" s="451"/>
      <c r="D287" s="451"/>
      <c r="E287" s="451"/>
      <c r="F287" s="451"/>
      <c r="G287" s="451"/>
      <c r="H287" s="451"/>
      <c r="I287" s="451"/>
      <c r="J287" s="451"/>
      <c r="K287" s="451"/>
      <c r="L287" s="451"/>
      <c r="M287" s="451"/>
      <c r="N287" s="451"/>
      <c r="O287" s="452"/>
      <c r="P287" s="452"/>
      <c r="Q287" s="452"/>
      <c r="R287" s="452"/>
      <c r="S287" s="452"/>
      <c r="T287" s="452"/>
      <c r="U287" s="452"/>
    </row>
    <row r="288" spans="1:21" x14ac:dyDescent="0.2">
      <c r="A288" s="204">
        <f t="shared" si="4"/>
        <v>265</v>
      </c>
      <c r="B288" s="451"/>
      <c r="C288" s="451"/>
      <c r="D288" s="451"/>
      <c r="E288" s="451"/>
      <c r="F288" s="451"/>
      <c r="G288" s="451"/>
      <c r="H288" s="451"/>
      <c r="I288" s="451"/>
      <c r="J288" s="451"/>
      <c r="K288" s="451"/>
      <c r="L288" s="451"/>
      <c r="M288" s="451"/>
      <c r="N288" s="451"/>
      <c r="O288" s="452"/>
      <c r="P288" s="452"/>
      <c r="Q288" s="452"/>
      <c r="R288" s="452"/>
      <c r="S288" s="452"/>
      <c r="T288" s="452"/>
      <c r="U288" s="452"/>
    </row>
    <row r="289" spans="1:21" x14ac:dyDescent="0.2">
      <c r="A289" s="204">
        <f t="shared" si="4"/>
        <v>266</v>
      </c>
      <c r="B289" s="451"/>
      <c r="C289" s="451"/>
      <c r="D289" s="451"/>
      <c r="E289" s="451"/>
      <c r="F289" s="451"/>
      <c r="G289" s="451"/>
      <c r="H289" s="451"/>
      <c r="I289" s="451"/>
      <c r="J289" s="451"/>
      <c r="K289" s="451"/>
      <c r="L289" s="451"/>
      <c r="M289" s="451"/>
      <c r="N289" s="451"/>
      <c r="O289" s="452"/>
      <c r="P289" s="452"/>
      <c r="Q289" s="452"/>
      <c r="R289" s="452"/>
      <c r="S289" s="452"/>
      <c r="T289" s="452"/>
      <c r="U289" s="452"/>
    </row>
    <row r="290" spans="1:21" x14ac:dyDescent="0.2">
      <c r="A290" s="204">
        <f t="shared" si="4"/>
        <v>267</v>
      </c>
      <c r="B290" s="451"/>
      <c r="C290" s="451"/>
      <c r="D290" s="451"/>
      <c r="E290" s="451"/>
      <c r="F290" s="451"/>
      <c r="G290" s="451"/>
      <c r="H290" s="451"/>
      <c r="I290" s="451"/>
      <c r="J290" s="451"/>
      <c r="K290" s="451"/>
      <c r="L290" s="451"/>
      <c r="M290" s="451"/>
      <c r="N290" s="451"/>
      <c r="O290" s="452"/>
      <c r="P290" s="452"/>
      <c r="Q290" s="452"/>
      <c r="R290" s="452"/>
      <c r="S290" s="452"/>
      <c r="T290" s="452"/>
      <c r="U290" s="452"/>
    </row>
    <row r="291" spans="1:21" x14ac:dyDescent="0.2">
      <c r="A291" s="204">
        <f t="shared" si="4"/>
        <v>268</v>
      </c>
      <c r="B291" s="451"/>
      <c r="C291" s="451"/>
      <c r="D291" s="451"/>
      <c r="E291" s="451"/>
      <c r="F291" s="451"/>
      <c r="G291" s="451"/>
      <c r="H291" s="451"/>
      <c r="I291" s="451"/>
      <c r="J291" s="451"/>
      <c r="K291" s="451"/>
      <c r="L291" s="451"/>
      <c r="M291" s="451"/>
      <c r="N291" s="451"/>
      <c r="O291" s="452"/>
      <c r="P291" s="452"/>
      <c r="Q291" s="452"/>
      <c r="R291" s="452"/>
      <c r="S291" s="452"/>
      <c r="T291" s="452"/>
      <c r="U291" s="452"/>
    </row>
    <row r="292" spans="1:21" x14ac:dyDescent="0.2">
      <c r="A292" s="204">
        <f t="shared" si="4"/>
        <v>269</v>
      </c>
      <c r="B292" s="451"/>
      <c r="C292" s="451"/>
      <c r="D292" s="451"/>
      <c r="E292" s="451"/>
      <c r="F292" s="451"/>
      <c r="G292" s="451"/>
      <c r="H292" s="451"/>
      <c r="I292" s="451"/>
      <c r="J292" s="451"/>
      <c r="K292" s="451"/>
      <c r="L292" s="451"/>
      <c r="M292" s="451"/>
      <c r="N292" s="451"/>
      <c r="O292" s="452"/>
      <c r="P292" s="452"/>
      <c r="Q292" s="452"/>
      <c r="R292" s="452"/>
      <c r="S292" s="452"/>
      <c r="T292" s="452"/>
      <c r="U292" s="452"/>
    </row>
    <row r="293" spans="1:21" x14ac:dyDescent="0.2">
      <c r="A293" s="204">
        <f t="shared" si="4"/>
        <v>270</v>
      </c>
      <c r="B293" s="451"/>
      <c r="C293" s="451"/>
      <c r="D293" s="451"/>
      <c r="E293" s="451"/>
      <c r="F293" s="451"/>
      <c r="G293" s="451"/>
      <c r="H293" s="451"/>
      <c r="I293" s="451"/>
      <c r="J293" s="451"/>
      <c r="K293" s="451"/>
      <c r="L293" s="451"/>
      <c r="M293" s="451"/>
      <c r="N293" s="451"/>
      <c r="O293" s="452"/>
      <c r="P293" s="452"/>
      <c r="Q293" s="452"/>
      <c r="R293" s="452"/>
      <c r="S293" s="452"/>
      <c r="T293" s="452"/>
      <c r="U293" s="452"/>
    </row>
    <row r="294" spans="1:21" x14ac:dyDescent="0.2">
      <c r="A294" s="204">
        <f t="shared" si="4"/>
        <v>271</v>
      </c>
      <c r="B294" s="451"/>
      <c r="C294" s="451"/>
      <c r="D294" s="451"/>
      <c r="E294" s="451"/>
      <c r="F294" s="451"/>
      <c r="G294" s="451"/>
      <c r="H294" s="451"/>
      <c r="I294" s="451"/>
      <c r="J294" s="451"/>
      <c r="K294" s="451"/>
      <c r="L294" s="451"/>
      <c r="M294" s="451"/>
      <c r="N294" s="451"/>
      <c r="O294" s="452"/>
      <c r="P294" s="452"/>
      <c r="Q294" s="452"/>
      <c r="R294" s="452"/>
      <c r="S294" s="452"/>
      <c r="T294" s="452"/>
      <c r="U294" s="452"/>
    </row>
    <row r="295" spans="1:21" x14ac:dyDescent="0.2">
      <c r="A295" s="204">
        <f t="shared" si="4"/>
        <v>272</v>
      </c>
      <c r="B295" s="451"/>
      <c r="C295" s="451"/>
      <c r="D295" s="451"/>
      <c r="E295" s="451"/>
      <c r="F295" s="451"/>
      <c r="G295" s="451"/>
      <c r="H295" s="451"/>
      <c r="I295" s="451"/>
      <c r="J295" s="451"/>
      <c r="K295" s="451"/>
      <c r="L295" s="451"/>
      <c r="M295" s="451"/>
      <c r="N295" s="451"/>
      <c r="O295" s="452"/>
      <c r="P295" s="452"/>
      <c r="Q295" s="452"/>
      <c r="R295" s="452"/>
      <c r="S295" s="452"/>
      <c r="T295" s="452"/>
      <c r="U295" s="452"/>
    </row>
    <row r="296" spans="1:21" x14ac:dyDescent="0.2">
      <c r="A296" s="204">
        <f t="shared" si="4"/>
        <v>273</v>
      </c>
      <c r="B296" s="451"/>
      <c r="C296" s="451"/>
      <c r="D296" s="451"/>
      <c r="E296" s="451"/>
      <c r="F296" s="451"/>
      <c r="G296" s="451"/>
      <c r="H296" s="451"/>
      <c r="I296" s="451"/>
      <c r="J296" s="451"/>
      <c r="K296" s="451"/>
      <c r="L296" s="451"/>
      <c r="M296" s="451"/>
      <c r="N296" s="451"/>
      <c r="O296" s="452"/>
      <c r="P296" s="452"/>
      <c r="Q296" s="452"/>
      <c r="R296" s="452"/>
      <c r="S296" s="452"/>
      <c r="T296" s="452"/>
      <c r="U296" s="452"/>
    </row>
    <row r="297" spans="1:21" x14ac:dyDescent="0.2">
      <c r="A297" s="204">
        <f t="shared" si="4"/>
        <v>274</v>
      </c>
      <c r="B297" s="451"/>
      <c r="C297" s="451"/>
      <c r="D297" s="451"/>
      <c r="E297" s="451"/>
      <c r="F297" s="451"/>
      <c r="G297" s="451"/>
      <c r="H297" s="451"/>
      <c r="I297" s="451"/>
      <c r="J297" s="451"/>
      <c r="K297" s="451"/>
      <c r="L297" s="451"/>
      <c r="M297" s="451"/>
      <c r="N297" s="451"/>
      <c r="O297" s="452"/>
      <c r="P297" s="452"/>
      <c r="Q297" s="452"/>
      <c r="R297" s="452"/>
      <c r="S297" s="452"/>
      <c r="T297" s="452"/>
      <c r="U297" s="452"/>
    </row>
    <row r="298" spans="1:21" x14ac:dyDescent="0.2">
      <c r="A298" s="204">
        <f t="shared" si="4"/>
        <v>275</v>
      </c>
      <c r="B298" s="451"/>
      <c r="C298" s="451"/>
      <c r="D298" s="451"/>
      <c r="E298" s="451"/>
      <c r="F298" s="451"/>
      <c r="G298" s="451"/>
      <c r="H298" s="451"/>
      <c r="I298" s="451"/>
      <c r="J298" s="451"/>
      <c r="K298" s="451"/>
      <c r="L298" s="451"/>
      <c r="M298" s="451"/>
      <c r="N298" s="451"/>
      <c r="O298" s="452"/>
      <c r="P298" s="452"/>
      <c r="Q298" s="452"/>
      <c r="R298" s="452"/>
      <c r="S298" s="452"/>
      <c r="T298" s="452"/>
      <c r="U298" s="452"/>
    </row>
    <row r="299" spans="1:21" x14ac:dyDescent="0.2">
      <c r="A299" s="204">
        <f t="shared" si="4"/>
        <v>276</v>
      </c>
      <c r="B299" s="451"/>
      <c r="C299" s="451"/>
      <c r="D299" s="451"/>
      <c r="E299" s="451"/>
      <c r="F299" s="451"/>
      <c r="G299" s="451"/>
      <c r="H299" s="451"/>
      <c r="I299" s="451"/>
      <c r="J299" s="451"/>
      <c r="K299" s="451"/>
      <c r="L299" s="451"/>
      <c r="M299" s="451"/>
      <c r="N299" s="451"/>
      <c r="O299" s="452"/>
      <c r="P299" s="452"/>
      <c r="Q299" s="452"/>
      <c r="R299" s="452"/>
      <c r="S299" s="452"/>
      <c r="T299" s="452"/>
      <c r="U299" s="452"/>
    </row>
    <row r="300" spans="1:21" x14ac:dyDescent="0.2">
      <c r="A300" s="204">
        <f t="shared" si="4"/>
        <v>277</v>
      </c>
      <c r="B300" s="451"/>
      <c r="C300" s="451"/>
      <c r="D300" s="451"/>
      <c r="E300" s="451"/>
      <c r="F300" s="451"/>
      <c r="G300" s="451"/>
      <c r="H300" s="451"/>
      <c r="I300" s="451"/>
      <c r="J300" s="451"/>
      <c r="K300" s="451"/>
      <c r="L300" s="451"/>
      <c r="M300" s="451"/>
      <c r="N300" s="451"/>
      <c r="O300" s="452"/>
      <c r="P300" s="452"/>
      <c r="Q300" s="452"/>
      <c r="R300" s="452"/>
      <c r="S300" s="452"/>
      <c r="T300" s="452"/>
      <c r="U300" s="452"/>
    </row>
    <row r="301" spans="1:21" x14ac:dyDescent="0.2">
      <c r="A301" s="204">
        <f t="shared" si="4"/>
        <v>278</v>
      </c>
      <c r="B301" s="451"/>
      <c r="C301" s="451"/>
      <c r="D301" s="451"/>
      <c r="E301" s="451"/>
      <c r="F301" s="451"/>
      <c r="G301" s="451"/>
      <c r="H301" s="451"/>
      <c r="I301" s="451"/>
      <c r="J301" s="451"/>
      <c r="K301" s="451"/>
      <c r="L301" s="451"/>
      <c r="M301" s="451"/>
      <c r="N301" s="451"/>
      <c r="O301" s="452"/>
      <c r="P301" s="452"/>
      <c r="Q301" s="452"/>
      <c r="R301" s="452"/>
      <c r="S301" s="452"/>
      <c r="T301" s="452"/>
      <c r="U301" s="452"/>
    </row>
    <row r="302" spans="1:21" x14ac:dyDescent="0.2">
      <c r="A302" s="204">
        <f t="shared" si="4"/>
        <v>279</v>
      </c>
      <c r="B302" s="451"/>
      <c r="C302" s="451"/>
      <c r="D302" s="451"/>
      <c r="E302" s="451"/>
      <c r="F302" s="451"/>
      <c r="G302" s="451"/>
      <c r="H302" s="451"/>
      <c r="I302" s="451"/>
      <c r="J302" s="451"/>
      <c r="K302" s="451"/>
      <c r="L302" s="451"/>
      <c r="M302" s="451"/>
      <c r="N302" s="451"/>
      <c r="O302" s="452"/>
      <c r="P302" s="452"/>
      <c r="Q302" s="452"/>
      <c r="R302" s="452"/>
      <c r="S302" s="452"/>
      <c r="T302" s="452"/>
      <c r="U302" s="452"/>
    </row>
    <row r="303" spans="1:21" x14ac:dyDescent="0.2">
      <c r="A303" s="204">
        <f t="shared" si="4"/>
        <v>280</v>
      </c>
      <c r="B303" s="451"/>
      <c r="C303" s="451"/>
      <c r="D303" s="451"/>
      <c r="E303" s="451"/>
      <c r="F303" s="451"/>
      <c r="G303" s="451"/>
      <c r="H303" s="451"/>
      <c r="I303" s="451"/>
      <c r="J303" s="451"/>
      <c r="K303" s="451"/>
      <c r="L303" s="451"/>
      <c r="M303" s="451"/>
      <c r="N303" s="451"/>
      <c r="O303" s="452"/>
      <c r="P303" s="452"/>
      <c r="Q303" s="452"/>
      <c r="R303" s="452"/>
      <c r="S303" s="452"/>
      <c r="T303" s="452"/>
      <c r="U303" s="452"/>
    </row>
    <row r="304" spans="1:21" x14ac:dyDescent="0.2">
      <c r="A304" s="204">
        <f t="shared" si="4"/>
        <v>281</v>
      </c>
      <c r="B304" s="451"/>
      <c r="C304" s="451"/>
      <c r="D304" s="451"/>
      <c r="E304" s="451"/>
      <c r="F304" s="451"/>
      <c r="G304" s="451"/>
      <c r="H304" s="451"/>
      <c r="I304" s="451"/>
      <c r="J304" s="451"/>
      <c r="K304" s="451"/>
      <c r="L304" s="451"/>
      <c r="M304" s="451"/>
      <c r="N304" s="451"/>
      <c r="O304" s="452"/>
      <c r="P304" s="452"/>
      <c r="Q304" s="452"/>
      <c r="R304" s="452"/>
      <c r="S304" s="452"/>
      <c r="T304" s="452"/>
      <c r="U304" s="452"/>
    </row>
    <row r="305" spans="1:21" x14ac:dyDescent="0.2">
      <c r="A305" s="204">
        <f t="shared" si="4"/>
        <v>282</v>
      </c>
      <c r="B305" s="451"/>
      <c r="C305" s="451"/>
      <c r="D305" s="451"/>
      <c r="E305" s="451"/>
      <c r="F305" s="451"/>
      <c r="G305" s="451"/>
      <c r="H305" s="451"/>
      <c r="I305" s="451"/>
      <c r="J305" s="451"/>
      <c r="K305" s="451"/>
      <c r="L305" s="451"/>
      <c r="M305" s="451"/>
      <c r="N305" s="451"/>
      <c r="O305" s="452"/>
      <c r="P305" s="452"/>
      <c r="Q305" s="452"/>
      <c r="R305" s="452"/>
      <c r="S305" s="452"/>
      <c r="T305" s="452"/>
      <c r="U305" s="452"/>
    </row>
    <row r="306" spans="1:21" x14ac:dyDescent="0.2">
      <c r="A306" s="204">
        <f t="shared" si="4"/>
        <v>283</v>
      </c>
      <c r="B306" s="451"/>
      <c r="C306" s="451"/>
      <c r="D306" s="451"/>
      <c r="E306" s="451"/>
      <c r="F306" s="451"/>
      <c r="G306" s="451"/>
      <c r="H306" s="451"/>
      <c r="I306" s="451"/>
      <c r="J306" s="451"/>
      <c r="K306" s="451"/>
      <c r="L306" s="451"/>
      <c r="M306" s="451"/>
      <c r="N306" s="451"/>
      <c r="O306" s="452"/>
      <c r="P306" s="452"/>
      <c r="Q306" s="452"/>
      <c r="R306" s="452"/>
      <c r="S306" s="452"/>
      <c r="T306" s="452"/>
      <c r="U306" s="452"/>
    </row>
    <row r="307" spans="1:21" x14ac:dyDescent="0.2">
      <c r="A307" s="204">
        <f t="shared" si="4"/>
        <v>284</v>
      </c>
      <c r="B307" s="451"/>
      <c r="C307" s="451"/>
      <c r="D307" s="451"/>
      <c r="E307" s="451"/>
      <c r="F307" s="451"/>
      <c r="G307" s="451"/>
      <c r="H307" s="451"/>
      <c r="I307" s="451"/>
      <c r="J307" s="451"/>
      <c r="K307" s="451"/>
      <c r="L307" s="451"/>
      <c r="M307" s="451"/>
      <c r="N307" s="451"/>
      <c r="O307" s="452"/>
      <c r="P307" s="452"/>
      <c r="Q307" s="452"/>
      <c r="R307" s="452"/>
      <c r="S307" s="452"/>
      <c r="T307" s="452"/>
      <c r="U307" s="452"/>
    </row>
    <row r="308" spans="1:21" x14ac:dyDescent="0.2">
      <c r="A308" s="204">
        <f t="shared" si="4"/>
        <v>285</v>
      </c>
      <c r="B308" s="451"/>
      <c r="C308" s="451"/>
      <c r="D308" s="451"/>
      <c r="E308" s="451"/>
      <c r="F308" s="451"/>
      <c r="G308" s="451"/>
      <c r="H308" s="451"/>
      <c r="I308" s="451"/>
      <c r="J308" s="451"/>
      <c r="K308" s="451"/>
      <c r="L308" s="451"/>
      <c r="M308" s="451"/>
      <c r="N308" s="451"/>
      <c r="O308" s="452"/>
      <c r="P308" s="452"/>
      <c r="Q308" s="452"/>
      <c r="R308" s="452"/>
      <c r="S308" s="452"/>
      <c r="T308" s="452"/>
      <c r="U308" s="452"/>
    </row>
    <row r="309" spans="1:21" x14ac:dyDescent="0.2">
      <c r="A309" s="204">
        <f t="shared" si="4"/>
        <v>286</v>
      </c>
      <c r="B309" s="451"/>
      <c r="C309" s="451"/>
      <c r="D309" s="451"/>
      <c r="E309" s="451"/>
      <c r="F309" s="451"/>
      <c r="G309" s="451"/>
      <c r="H309" s="451"/>
      <c r="I309" s="451"/>
      <c r="J309" s="451"/>
      <c r="K309" s="451"/>
      <c r="L309" s="451"/>
      <c r="M309" s="451"/>
      <c r="N309" s="451"/>
      <c r="O309" s="452"/>
      <c r="P309" s="452"/>
      <c r="Q309" s="452"/>
      <c r="R309" s="452"/>
      <c r="S309" s="452"/>
      <c r="T309" s="452"/>
      <c r="U309" s="452"/>
    </row>
    <row r="310" spans="1:21" x14ac:dyDescent="0.2">
      <c r="A310" s="204">
        <f t="shared" si="4"/>
        <v>287</v>
      </c>
      <c r="B310" s="451"/>
      <c r="C310" s="451"/>
      <c r="D310" s="451"/>
      <c r="E310" s="451"/>
      <c r="F310" s="451"/>
      <c r="G310" s="451"/>
      <c r="H310" s="451"/>
      <c r="I310" s="451"/>
      <c r="J310" s="451"/>
      <c r="K310" s="451"/>
      <c r="L310" s="451"/>
      <c r="M310" s="451"/>
      <c r="N310" s="451"/>
      <c r="O310" s="452"/>
      <c r="P310" s="452"/>
      <c r="Q310" s="452"/>
      <c r="R310" s="452"/>
      <c r="S310" s="452"/>
      <c r="T310" s="452"/>
      <c r="U310" s="452"/>
    </row>
    <row r="311" spans="1:21" x14ac:dyDescent="0.2">
      <c r="A311" s="204">
        <f t="shared" si="4"/>
        <v>288</v>
      </c>
      <c r="B311" s="451"/>
      <c r="C311" s="451"/>
      <c r="D311" s="451"/>
      <c r="E311" s="451"/>
      <c r="F311" s="451"/>
      <c r="G311" s="451"/>
      <c r="H311" s="451"/>
      <c r="I311" s="451"/>
      <c r="J311" s="451"/>
      <c r="K311" s="451"/>
      <c r="L311" s="451"/>
      <c r="M311" s="451"/>
      <c r="N311" s="451"/>
      <c r="O311" s="452"/>
      <c r="P311" s="452"/>
      <c r="Q311" s="452"/>
      <c r="R311" s="452"/>
      <c r="S311" s="452"/>
      <c r="T311" s="452"/>
      <c r="U311" s="452"/>
    </row>
    <row r="312" spans="1:21" x14ac:dyDescent="0.2">
      <c r="A312" s="204">
        <f t="shared" si="4"/>
        <v>289</v>
      </c>
      <c r="B312" s="451"/>
      <c r="C312" s="451"/>
      <c r="D312" s="451"/>
      <c r="E312" s="451"/>
      <c r="F312" s="451"/>
      <c r="G312" s="451"/>
      <c r="H312" s="451"/>
      <c r="I312" s="451"/>
      <c r="J312" s="451"/>
      <c r="K312" s="451"/>
      <c r="L312" s="451"/>
      <c r="M312" s="451"/>
      <c r="N312" s="451"/>
      <c r="O312" s="452"/>
      <c r="P312" s="452"/>
      <c r="Q312" s="452"/>
      <c r="R312" s="452"/>
      <c r="S312" s="452"/>
      <c r="T312" s="452"/>
      <c r="U312" s="452"/>
    </row>
    <row r="313" spans="1:21" x14ac:dyDescent="0.2">
      <c r="A313" s="204">
        <f t="shared" si="4"/>
        <v>290</v>
      </c>
      <c r="B313" s="451"/>
      <c r="C313" s="451"/>
      <c r="D313" s="451"/>
      <c r="E313" s="451"/>
      <c r="F313" s="451"/>
      <c r="G313" s="451"/>
      <c r="H313" s="451"/>
      <c r="I313" s="451"/>
      <c r="J313" s="451"/>
      <c r="K313" s="451"/>
      <c r="L313" s="451"/>
      <c r="M313" s="451"/>
      <c r="N313" s="451"/>
      <c r="O313" s="452"/>
      <c r="P313" s="452"/>
      <c r="Q313" s="452"/>
      <c r="R313" s="452"/>
      <c r="S313" s="452"/>
      <c r="T313" s="452"/>
      <c r="U313" s="452"/>
    </row>
    <row r="314" spans="1:21" x14ac:dyDescent="0.2">
      <c r="A314" s="204">
        <f t="shared" si="4"/>
        <v>291</v>
      </c>
      <c r="B314" s="451"/>
      <c r="C314" s="451"/>
      <c r="D314" s="451"/>
      <c r="E314" s="451"/>
      <c r="F314" s="451"/>
      <c r="G314" s="451"/>
      <c r="H314" s="451"/>
      <c r="I314" s="451"/>
      <c r="J314" s="451"/>
      <c r="K314" s="451"/>
      <c r="L314" s="451"/>
      <c r="M314" s="451"/>
      <c r="N314" s="451"/>
      <c r="O314" s="452"/>
      <c r="P314" s="452"/>
      <c r="Q314" s="452"/>
      <c r="R314" s="452"/>
      <c r="S314" s="452"/>
      <c r="T314" s="452"/>
      <c r="U314" s="452"/>
    </row>
    <row r="315" spans="1:21" x14ac:dyDescent="0.2">
      <c r="A315" s="204">
        <f t="shared" si="4"/>
        <v>292</v>
      </c>
      <c r="B315" s="451"/>
      <c r="C315" s="451"/>
      <c r="D315" s="451"/>
      <c r="E315" s="451"/>
      <c r="F315" s="451"/>
      <c r="G315" s="451"/>
      <c r="H315" s="451"/>
      <c r="I315" s="451"/>
      <c r="J315" s="451"/>
      <c r="K315" s="451"/>
      <c r="L315" s="451"/>
      <c r="M315" s="451"/>
      <c r="N315" s="451"/>
      <c r="O315" s="452"/>
      <c r="P315" s="452"/>
      <c r="Q315" s="452"/>
      <c r="R315" s="452"/>
      <c r="S315" s="452"/>
      <c r="T315" s="452"/>
      <c r="U315" s="452"/>
    </row>
    <row r="316" spans="1:21" x14ac:dyDescent="0.2">
      <c r="A316" s="204">
        <f t="shared" si="4"/>
        <v>293</v>
      </c>
      <c r="B316" s="451"/>
      <c r="C316" s="451"/>
      <c r="D316" s="451"/>
      <c r="E316" s="451"/>
      <c r="F316" s="451"/>
      <c r="G316" s="451"/>
      <c r="H316" s="451"/>
      <c r="I316" s="451"/>
      <c r="J316" s="451"/>
      <c r="K316" s="451"/>
      <c r="L316" s="451"/>
      <c r="M316" s="451"/>
      <c r="N316" s="451"/>
      <c r="O316" s="452"/>
      <c r="P316" s="452"/>
      <c r="Q316" s="452"/>
      <c r="R316" s="452"/>
      <c r="S316" s="452"/>
      <c r="T316" s="452"/>
      <c r="U316" s="452"/>
    </row>
    <row r="317" spans="1:21" x14ac:dyDescent="0.2">
      <c r="A317" s="204">
        <f t="shared" si="4"/>
        <v>294</v>
      </c>
      <c r="B317" s="451"/>
      <c r="C317" s="451"/>
      <c r="D317" s="451"/>
      <c r="E317" s="451"/>
      <c r="F317" s="451"/>
      <c r="G317" s="451"/>
      <c r="H317" s="451"/>
      <c r="I317" s="451"/>
      <c r="J317" s="451"/>
      <c r="K317" s="451"/>
      <c r="L317" s="451"/>
      <c r="M317" s="451"/>
      <c r="N317" s="451"/>
      <c r="O317" s="452"/>
      <c r="P317" s="452"/>
      <c r="Q317" s="452"/>
      <c r="R317" s="452"/>
      <c r="S317" s="452"/>
      <c r="T317" s="452"/>
      <c r="U317" s="452"/>
    </row>
    <row r="318" spans="1:21" x14ac:dyDescent="0.2">
      <c r="A318" s="204">
        <f t="shared" si="4"/>
        <v>295</v>
      </c>
      <c r="B318" s="451"/>
      <c r="C318" s="451"/>
      <c r="D318" s="451"/>
      <c r="E318" s="451"/>
      <c r="F318" s="451"/>
      <c r="G318" s="451"/>
      <c r="H318" s="451"/>
      <c r="I318" s="451"/>
      <c r="J318" s="451"/>
      <c r="K318" s="451"/>
      <c r="L318" s="451"/>
      <c r="M318" s="451"/>
      <c r="N318" s="451"/>
      <c r="O318" s="452"/>
      <c r="P318" s="452"/>
      <c r="Q318" s="452"/>
      <c r="R318" s="452"/>
      <c r="S318" s="452"/>
      <c r="T318" s="452"/>
      <c r="U318" s="452"/>
    </row>
    <row r="319" spans="1:21" x14ac:dyDescent="0.2">
      <c r="A319" s="204">
        <f t="shared" si="4"/>
        <v>296</v>
      </c>
      <c r="B319" s="451"/>
      <c r="C319" s="451"/>
      <c r="D319" s="451"/>
      <c r="E319" s="451"/>
      <c r="F319" s="451"/>
      <c r="G319" s="451"/>
      <c r="H319" s="451"/>
      <c r="I319" s="451"/>
      <c r="J319" s="451"/>
      <c r="K319" s="451"/>
      <c r="L319" s="451"/>
      <c r="M319" s="451"/>
      <c r="N319" s="451"/>
      <c r="O319" s="452"/>
      <c r="P319" s="452"/>
      <c r="Q319" s="452"/>
      <c r="R319" s="452"/>
      <c r="S319" s="452"/>
      <c r="T319" s="452"/>
      <c r="U319" s="452"/>
    </row>
    <row r="320" spans="1:21" x14ac:dyDescent="0.2">
      <c r="A320" s="204">
        <f t="shared" si="4"/>
        <v>297</v>
      </c>
      <c r="B320" s="451"/>
      <c r="C320" s="451"/>
      <c r="D320" s="451"/>
      <c r="E320" s="451"/>
      <c r="F320" s="451"/>
      <c r="G320" s="451"/>
      <c r="H320" s="451"/>
      <c r="I320" s="451"/>
      <c r="J320" s="451"/>
      <c r="K320" s="451"/>
      <c r="L320" s="451"/>
      <c r="M320" s="451"/>
      <c r="N320" s="451"/>
      <c r="O320" s="452"/>
      <c r="P320" s="452"/>
      <c r="Q320" s="452"/>
      <c r="R320" s="452"/>
      <c r="S320" s="452"/>
      <c r="T320" s="452"/>
      <c r="U320" s="452"/>
    </row>
    <row r="321" spans="1:21" x14ac:dyDescent="0.2">
      <c r="A321" s="204">
        <f t="shared" si="4"/>
        <v>298</v>
      </c>
      <c r="B321" s="451"/>
      <c r="C321" s="451"/>
      <c r="D321" s="451"/>
      <c r="E321" s="451"/>
      <c r="F321" s="451"/>
      <c r="G321" s="451"/>
      <c r="H321" s="451"/>
      <c r="I321" s="451"/>
      <c r="J321" s="451"/>
      <c r="K321" s="451"/>
      <c r="L321" s="451"/>
      <c r="M321" s="451"/>
      <c r="N321" s="451"/>
      <c r="O321" s="452"/>
      <c r="P321" s="452"/>
      <c r="Q321" s="452"/>
      <c r="R321" s="452"/>
      <c r="S321" s="452"/>
      <c r="T321" s="452"/>
      <c r="U321" s="452"/>
    </row>
    <row r="322" spans="1:21" x14ac:dyDescent="0.2">
      <c r="A322" s="204">
        <f t="shared" si="4"/>
        <v>299</v>
      </c>
      <c r="B322" s="451"/>
      <c r="C322" s="451"/>
      <c r="D322" s="451"/>
      <c r="E322" s="451"/>
      <c r="F322" s="451"/>
      <c r="G322" s="451"/>
      <c r="H322" s="451"/>
      <c r="I322" s="451"/>
      <c r="J322" s="451"/>
      <c r="K322" s="451"/>
      <c r="L322" s="451"/>
      <c r="M322" s="451"/>
      <c r="N322" s="451"/>
      <c r="O322" s="452"/>
      <c r="P322" s="452"/>
      <c r="Q322" s="452"/>
      <c r="R322" s="452"/>
      <c r="S322" s="452"/>
      <c r="T322" s="452"/>
      <c r="U322" s="452"/>
    </row>
    <row r="323" spans="1:21" x14ac:dyDescent="0.2">
      <c r="A323" s="204">
        <f t="shared" si="4"/>
        <v>300</v>
      </c>
      <c r="B323" s="451"/>
      <c r="C323" s="451"/>
      <c r="D323" s="451"/>
      <c r="E323" s="451"/>
      <c r="F323" s="451"/>
      <c r="G323" s="451"/>
      <c r="H323" s="451"/>
      <c r="I323" s="451"/>
      <c r="J323" s="451"/>
      <c r="K323" s="451"/>
      <c r="L323" s="451"/>
      <c r="M323" s="451"/>
      <c r="N323" s="451"/>
      <c r="O323" s="452"/>
      <c r="P323" s="452"/>
      <c r="Q323" s="452"/>
      <c r="R323" s="452"/>
      <c r="S323" s="452"/>
      <c r="T323" s="452"/>
      <c r="U323" s="452"/>
    </row>
    <row r="324" spans="1:21" x14ac:dyDescent="0.2">
      <c r="A324" s="204">
        <f t="shared" si="4"/>
        <v>301</v>
      </c>
      <c r="B324" s="451"/>
      <c r="C324" s="451"/>
      <c r="D324" s="451"/>
      <c r="E324" s="451"/>
      <c r="F324" s="451"/>
      <c r="G324" s="451"/>
      <c r="H324" s="451"/>
      <c r="I324" s="451"/>
      <c r="J324" s="451"/>
      <c r="K324" s="451"/>
      <c r="L324" s="451"/>
      <c r="M324" s="451"/>
      <c r="N324" s="451"/>
      <c r="O324" s="452"/>
      <c r="P324" s="452"/>
      <c r="Q324" s="452"/>
      <c r="R324" s="452"/>
      <c r="S324" s="452"/>
      <c r="T324" s="452"/>
      <c r="U324" s="452"/>
    </row>
    <row r="325" spans="1:21" x14ac:dyDescent="0.2">
      <c r="A325" s="204">
        <f t="shared" si="4"/>
        <v>302</v>
      </c>
      <c r="B325" s="451"/>
      <c r="C325" s="451"/>
      <c r="D325" s="451"/>
      <c r="E325" s="451"/>
      <c r="F325" s="451"/>
      <c r="G325" s="451"/>
      <c r="H325" s="451"/>
      <c r="I325" s="451"/>
      <c r="J325" s="451"/>
      <c r="K325" s="451"/>
      <c r="L325" s="451"/>
      <c r="M325" s="451"/>
      <c r="N325" s="451"/>
      <c r="O325" s="452"/>
      <c r="P325" s="452"/>
      <c r="Q325" s="452"/>
      <c r="R325" s="452"/>
      <c r="S325" s="452"/>
      <c r="T325" s="452"/>
      <c r="U325" s="452"/>
    </row>
    <row r="326" spans="1:21" x14ac:dyDescent="0.2">
      <c r="A326" s="204">
        <f t="shared" si="4"/>
        <v>303</v>
      </c>
      <c r="B326" s="451"/>
      <c r="C326" s="451"/>
      <c r="D326" s="451"/>
      <c r="E326" s="451"/>
      <c r="F326" s="451"/>
      <c r="G326" s="451"/>
      <c r="H326" s="451"/>
      <c r="I326" s="451"/>
      <c r="J326" s="451"/>
      <c r="K326" s="451"/>
      <c r="L326" s="451"/>
      <c r="M326" s="451"/>
      <c r="N326" s="451"/>
      <c r="O326" s="452"/>
      <c r="P326" s="452"/>
      <c r="Q326" s="452"/>
      <c r="R326" s="452"/>
      <c r="S326" s="452"/>
      <c r="T326" s="452"/>
      <c r="U326" s="452"/>
    </row>
    <row r="327" spans="1:21" x14ac:dyDescent="0.2">
      <c r="A327" s="204">
        <f t="shared" si="4"/>
        <v>304</v>
      </c>
      <c r="B327" s="451"/>
      <c r="C327" s="451"/>
      <c r="D327" s="451"/>
      <c r="E327" s="451"/>
      <c r="F327" s="451"/>
      <c r="G327" s="451"/>
      <c r="H327" s="451"/>
      <c r="I327" s="451"/>
      <c r="J327" s="451"/>
      <c r="K327" s="451"/>
      <c r="L327" s="451"/>
      <c r="M327" s="451"/>
      <c r="N327" s="451"/>
      <c r="O327" s="452"/>
      <c r="P327" s="452"/>
      <c r="Q327" s="452"/>
      <c r="R327" s="452"/>
      <c r="S327" s="452"/>
      <c r="T327" s="452"/>
      <c r="U327" s="452"/>
    </row>
    <row r="328" spans="1:21" x14ac:dyDescent="0.2">
      <c r="A328" s="204">
        <f t="shared" si="4"/>
        <v>305</v>
      </c>
      <c r="B328" s="451"/>
      <c r="C328" s="451"/>
      <c r="D328" s="451"/>
      <c r="E328" s="451"/>
      <c r="F328" s="451"/>
      <c r="G328" s="451"/>
      <c r="H328" s="451"/>
      <c r="I328" s="451"/>
      <c r="J328" s="451"/>
      <c r="K328" s="451"/>
      <c r="L328" s="451"/>
      <c r="M328" s="451"/>
      <c r="N328" s="451"/>
      <c r="O328" s="452"/>
      <c r="P328" s="452"/>
      <c r="Q328" s="452"/>
      <c r="R328" s="452"/>
      <c r="S328" s="452"/>
      <c r="T328" s="452"/>
      <c r="U328" s="452"/>
    </row>
    <row r="329" spans="1:21" x14ac:dyDescent="0.2">
      <c r="A329" s="204">
        <f t="shared" si="4"/>
        <v>306</v>
      </c>
      <c r="B329" s="451"/>
      <c r="C329" s="451"/>
      <c r="D329" s="451"/>
      <c r="E329" s="451"/>
      <c r="F329" s="451"/>
      <c r="G329" s="451"/>
      <c r="H329" s="451"/>
      <c r="I329" s="451"/>
      <c r="J329" s="451"/>
      <c r="K329" s="451"/>
      <c r="L329" s="451"/>
      <c r="M329" s="451"/>
      <c r="N329" s="451"/>
      <c r="O329" s="452"/>
      <c r="P329" s="452"/>
      <c r="Q329" s="452"/>
      <c r="R329" s="452"/>
      <c r="S329" s="452"/>
      <c r="T329" s="452"/>
      <c r="U329" s="452"/>
    </row>
    <row r="330" spans="1:21" x14ac:dyDescent="0.2">
      <c r="A330" s="204">
        <f t="shared" si="4"/>
        <v>307</v>
      </c>
      <c r="B330" s="451"/>
      <c r="C330" s="451"/>
      <c r="D330" s="451"/>
      <c r="E330" s="451"/>
      <c r="F330" s="451"/>
      <c r="G330" s="451"/>
      <c r="H330" s="451"/>
      <c r="I330" s="451"/>
      <c r="J330" s="451"/>
      <c r="K330" s="451"/>
      <c r="L330" s="451"/>
      <c r="M330" s="451"/>
      <c r="N330" s="451"/>
      <c r="O330" s="452"/>
      <c r="P330" s="452"/>
      <c r="Q330" s="452"/>
      <c r="R330" s="452"/>
      <c r="S330" s="452"/>
      <c r="T330" s="452"/>
      <c r="U330" s="452"/>
    </row>
    <row r="331" spans="1:21" x14ac:dyDescent="0.2">
      <c r="A331" s="204">
        <f t="shared" si="4"/>
        <v>308</v>
      </c>
      <c r="B331" s="451"/>
      <c r="C331" s="451"/>
      <c r="D331" s="451"/>
      <c r="E331" s="451"/>
      <c r="F331" s="451"/>
      <c r="G331" s="451"/>
      <c r="H331" s="451"/>
      <c r="I331" s="451"/>
      <c r="J331" s="451"/>
      <c r="K331" s="451"/>
      <c r="L331" s="451"/>
      <c r="M331" s="451"/>
      <c r="N331" s="451"/>
      <c r="O331" s="452"/>
      <c r="P331" s="452"/>
      <c r="Q331" s="452"/>
      <c r="R331" s="452"/>
      <c r="S331" s="452"/>
      <c r="T331" s="452"/>
      <c r="U331" s="452"/>
    </row>
    <row r="332" spans="1:21" x14ac:dyDescent="0.2">
      <c r="A332" s="204">
        <f t="shared" si="4"/>
        <v>309</v>
      </c>
      <c r="B332" s="451"/>
      <c r="C332" s="451"/>
      <c r="D332" s="451"/>
      <c r="E332" s="451"/>
      <c r="F332" s="451"/>
      <c r="G332" s="451"/>
      <c r="H332" s="451"/>
      <c r="I332" s="451"/>
      <c r="J332" s="451"/>
      <c r="K332" s="451"/>
      <c r="L332" s="451"/>
      <c r="M332" s="451"/>
      <c r="N332" s="451"/>
      <c r="O332" s="452"/>
      <c r="P332" s="452"/>
      <c r="Q332" s="452"/>
      <c r="R332" s="452"/>
      <c r="S332" s="452"/>
      <c r="T332" s="452"/>
      <c r="U332" s="452"/>
    </row>
    <row r="333" spans="1:21" x14ac:dyDescent="0.2">
      <c r="A333" s="204">
        <f t="shared" si="4"/>
        <v>310</v>
      </c>
      <c r="B333" s="451"/>
      <c r="C333" s="451"/>
      <c r="D333" s="451"/>
      <c r="E333" s="451"/>
      <c r="F333" s="451"/>
      <c r="G333" s="451"/>
      <c r="H333" s="451"/>
      <c r="I333" s="451"/>
      <c r="J333" s="451"/>
      <c r="K333" s="451"/>
      <c r="L333" s="451"/>
      <c r="M333" s="451"/>
      <c r="N333" s="451"/>
      <c r="O333" s="452"/>
      <c r="P333" s="452"/>
      <c r="Q333" s="452"/>
      <c r="R333" s="452"/>
      <c r="S333" s="452"/>
      <c r="T333" s="452"/>
      <c r="U333" s="452"/>
    </row>
    <row r="334" spans="1:21" x14ac:dyDescent="0.2">
      <c r="A334" s="204">
        <f t="shared" si="4"/>
        <v>311</v>
      </c>
      <c r="B334" s="451"/>
      <c r="C334" s="451"/>
      <c r="D334" s="451"/>
      <c r="E334" s="451"/>
      <c r="F334" s="451"/>
      <c r="G334" s="451"/>
      <c r="H334" s="451"/>
      <c r="I334" s="451"/>
      <c r="J334" s="451"/>
      <c r="K334" s="451"/>
      <c r="L334" s="451"/>
      <c r="M334" s="451"/>
      <c r="N334" s="451"/>
      <c r="O334" s="452"/>
      <c r="P334" s="452"/>
      <c r="Q334" s="452"/>
      <c r="R334" s="452"/>
      <c r="S334" s="452"/>
      <c r="T334" s="452"/>
      <c r="U334" s="452"/>
    </row>
    <row r="335" spans="1:21" x14ac:dyDescent="0.2">
      <c r="A335" s="204">
        <f t="shared" si="4"/>
        <v>312</v>
      </c>
      <c r="B335" s="451"/>
      <c r="C335" s="451"/>
      <c r="D335" s="451"/>
      <c r="E335" s="451"/>
      <c r="F335" s="451"/>
      <c r="G335" s="451"/>
      <c r="H335" s="451"/>
      <c r="I335" s="451"/>
      <c r="J335" s="451"/>
      <c r="K335" s="451"/>
      <c r="L335" s="451"/>
      <c r="M335" s="451"/>
      <c r="N335" s="451"/>
      <c r="O335" s="452"/>
      <c r="P335" s="452"/>
      <c r="Q335" s="452"/>
      <c r="R335" s="452"/>
      <c r="S335" s="452"/>
      <c r="T335" s="452"/>
      <c r="U335" s="452"/>
    </row>
    <row r="336" spans="1:21" x14ac:dyDescent="0.2">
      <c r="A336" s="204">
        <f t="shared" si="4"/>
        <v>313</v>
      </c>
      <c r="B336" s="451"/>
      <c r="C336" s="451"/>
      <c r="D336" s="451"/>
      <c r="E336" s="451"/>
      <c r="F336" s="451"/>
      <c r="G336" s="451"/>
      <c r="H336" s="451"/>
      <c r="I336" s="451"/>
      <c r="J336" s="451"/>
      <c r="K336" s="451"/>
      <c r="L336" s="451"/>
      <c r="M336" s="451"/>
      <c r="N336" s="451"/>
      <c r="O336" s="452"/>
      <c r="P336" s="452"/>
      <c r="Q336" s="452"/>
      <c r="R336" s="452"/>
      <c r="S336" s="452"/>
      <c r="T336" s="452"/>
      <c r="U336" s="452"/>
    </row>
    <row r="337" spans="1:21" x14ac:dyDescent="0.2">
      <c r="A337" s="204">
        <f t="shared" si="4"/>
        <v>314</v>
      </c>
      <c r="B337" s="451"/>
      <c r="C337" s="451"/>
      <c r="D337" s="451"/>
      <c r="E337" s="451"/>
      <c r="F337" s="451"/>
      <c r="G337" s="451"/>
      <c r="H337" s="451"/>
      <c r="I337" s="451"/>
      <c r="J337" s="451"/>
      <c r="K337" s="451"/>
      <c r="L337" s="451"/>
      <c r="M337" s="451"/>
      <c r="N337" s="451"/>
      <c r="O337" s="452"/>
      <c r="P337" s="452"/>
      <c r="Q337" s="452"/>
      <c r="R337" s="452"/>
      <c r="S337" s="452"/>
      <c r="T337" s="452"/>
      <c r="U337" s="452"/>
    </row>
    <row r="338" spans="1:21" x14ac:dyDescent="0.2">
      <c r="A338" s="204">
        <f t="shared" si="4"/>
        <v>315</v>
      </c>
      <c r="B338" s="451"/>
      <c r="C338" s="451"/>
      <c r="D338" s="451"/>
      <c r="E338" s="451"/>
      <c r="F338" s="451"/>
      <c r="G338" s="451"/>
      <c r="H338" s="451"/>
      <c r="I338" s="451"/>
      <c r="J338" s="451"/>
      <c r="K338" s="451"/>
      <c r="L338" s="451"/>
      <c r="M338" s="451"/>
      <c r="N338" s="451"/>
      <c r="O338" s="452"/>
      <c r="P338" s="452"/>
      <c r="Q338" s="452"/>
      <c r="R338" s="452"/>
      <c r="S338" s="452"/>
      <c r="T338" s="452"/>
      <c r="U338" s="452"/>
    </row>
    <row r="339" spans="1:21" x14ac:dyDescent="0.2">
      <c r="A339" s="204">
        <f t="shared" si="4"/>
        <v>316</v>
      </c>
      <c r="B339" s="451"/>
      <c r="C339" s="451"/>
      <c r="D339" s="451"/>
      <c r="E339" s="451"/>
      <c r="F339" s="451"/>
      <c r="G339" s="451"/>
      <c r="H339" s="451"/>
      <c r="I339" s="451"/>
      <c r="J339" s="451"/>
      <c r="K339" s="451"/>
      <c r="L339" s="451"/>
      <c r="M339" s="451"/>
      <c r="N339" s="451"/>
      <c r="O339" s="452"/>
      <c r="P339" s="452"/>
      <c r="Q339" s="452"/>
      <c r="R339" s="452"/>
      <c r="S339" s="452"/>
      <c r="T339" s="452"/>
      <c r="U339" s="452"/>
    </row>
    <row r="340" spans="1:21" x14ac:dyDescent="0.2">
      <c r="A340" s="204">
        <f t="shared" si="4"/>
        <v>317</v>
      </c>
      <c r="B340" s="451"/>
      <c r="C340" s="451"/>
      <c r="D340" s="451"/>
      <c r="E340" s="451"/>
      <c r="F340" s="451"/>
      <c r="G340" s="451"/>
      <c r="H340" s="451"/>
      <c r="I340" s="451"/>
      <c r="J340" s="451"/>
      <c r="K340" s="451"/>
      <c r="L340" s="451"/>
      <c r="M340" s="451"/>
      <c r="N340" s="451"/>
      <c r="O340" s="452"/>
      <c r="P340" s="452"/>
      <c r="Q340" s="452"/>
      <c r="R340" s="452"/>
      <c r="S340" s="452"/>
      <c r="T340" s="452"/>
      <c r="U340" s="452"/>
    </row>
    <row r="341" spans="1:21" x14ac:dyDescent="0.2">
      <c r="A341" s="204">
        <f t="shared" si="4"/>
        <v>318</v>
      </c>
      <c r="B341" s="451"/>
      <c r="C341" s="451"/>
      <c r="D341" s="451"/>
      <c r="E341" s="451"/>
      <c r="F341" s="451"/>
      <c r="G341" s="451"/>
      <c r="H341" s="451"/>
      <c r="I341" s="451"/>
      <c r="J341" s="451"/>
      <c r="K341" s="451"/>
      <c r="L341" s="451"/>
      <c r="M341" s="451"/>
      <c r="N341" s="451"/>
      <c r="O341" s="452"/>
      <c r="P341" s="452"/>
      <c r="Q341" s="452"/>
      <c r="R341" s="452"/>
      <c r="S341" s="452"/>
      <c r="T341" s="452"/>
      <c r="U341" s="452"/>
    </row>
    <row r="342" spans="1:21" x14ac:dyDescent="0.2">
      <c r="A342" s="204">
        <f t="shared" si="4"/>
        <v>319</v>
      </c>
      <c r="B342" s="451"/>
      <c r="C342" s="451"/>
      <c r="D342" s="451"/>
      <c r="E342" s="451"/>
      <c r="F342" s="451"/>
      <c r="G342" s="451"/>
      <c r="H342" s="451"/>
      <c r="I342" s="451"/>
      <c r="J342" s="451"/>
      <c r="K342" s="451"/>
      <c r="L342" s="451"/>
      <c r="M342" s="451"/>
      <c r="N342" s="451"/>
      <c r="O342" s="452"/>
      <c r="P342" s="452"/>
      <c r="Q342" s="452"/>
      <c r="R342" s="452"/>
      <c r="S342" s="452"/>
      <c r="T342" s="452"/>
      <c r="U342" s="452"/>
    </row>
    <row r="343" spans="1:21" x14ac:dyDescent="0.2">
      <c r="A343" s="204">
        <f t="shared" si="4"/>
        <v>320</v>
      </c>
      <c r="B343" s="451"/>
      <c r="C343" s="451"/>
      <c r="D343" s="451"/>
      <c r="E343" s="451"/>
      <c r="F343" s="451"/>
      <c r="G343" s="451"/>
      <c r="H343" s="451"/>
      <c r="I343" s="451"/>
      <c r="J343" s="451"/>
      <c r="K343" s="451"/>
      <c r="L343" s="451"/>
      <c r="M343" s="451"/>
      <c r="N343" s="451"/>
      <c r="O343" s="452"/>
      <c r="P343" s="452"/>
      <c r="Q343" s="452"/>
      <c r="R343" s="452"/>
      <c r="S343" s="452"/>
      <c r="T343" s="452"/>
      <c r="U343" s="452"/>
    </row>
    <row r="344" spans="1:21" x14ac:dyDescent="0.2">
      <c r="A344" s="204">
        <f t="shared" si="4"/>
        <v>321</v>
      </c>
      <c r="B344" s="451"/>
      <c r="C344" s="451"/>
      <c r="D344" s="451"/>
      <c r="E344" s="451"/>
      <c r="F344" s="451"/>
      <c r="G344" s="451"/>
      <c r="H344" s="451"/>
      <c r="I344" s="451"/>
      <c r="J344" s="451"/>
      <c r="K344" s="451"/>
      <c r="L344" s="451"/>
      <c r="M344" s="451"/>
      <c r="N344" s="451"/>
      <c r="O344" s="452"/>
      <c r="P344" s="452"/>
      <c r="Q344" s="452"/>
      <c r="R344" s="452"/>
      <c r="S344" s="452"/>
      <c r="T344" s="452"/>
      <c r="U344" s="452"/>
    </row>
    <row r="345" spans="1:21" x14ac:dyDescent="0.2">
      <c r="A345" s="204">
        <f t="shared" ref="A345:A408" si="5">A344+1</f>
        <v>322</v>
      </c>
      <c r="B345" s="451"/>
      <c r="C345" s="451"/>
      <c r="D345" s="451"/>
      <c r="E345" s="451"/>
      <c r="F345" s="451"/>
      <c r="G345" s="451"/>
      <c r="H345" s="451"/>
      <c r="I345" s="451"/>
      <c r="J345" s="451"/>
      <c r="K345" s="451"/>
      <c r="L345" s="451"/>
      <c r="M345" s="451"/>
      <c r="N345" s="451"/>
      <c r="O345" s="452"/>
      <c r="P345" s="452"/>
      <c r="Q345" s="452"/>
      <c r="R345" s="452"/>
      <c r="S345" s="452"/>
      <c r="T345" s="452"/>
      <c r="U345" s="452"/>
    </row>
    <row r="346" spans="1:21" x14ac:dyDescent="0.2">
      <c r="A346" s="204">
        <f t="shared" si="5"/>
        <v>323</v>
      </c>
      <c r="B346" s="451"/>
      <c r="C346" s="451"/>
      <c r="D346" s="451"/>
      <c r="E346" s="451"/>
      <c r="F346" s="451"/>
      <c r="G346" s="451"/>
      <c r="H346" s="451"/>
      <c r="I346" s="451"/>
      <c r="J346" s="451"/>
      <c r="K346" s="451"/>
      <c r="L346" s="451"/>
      <c r="M346" s="451"/>
      <c r="N346" s="451"/>
      <c r="O346" s="452"/>
      <c r="P346" s="452"/>
      <c r="Q346" s="452"/>
      <c r="R346" s="452"/>
      <c r="S346" s="452"/>
      <c r="T346" s="452"/>
      <c r="U346" s="452"/>
    </row>
    <row r="347" spans="1:21" x14ac:dyDescent="0.2">
      <c r="A347" s="204">
        <f t="shared" si="5"/>
        <v>324</v>
      </c>
      <c r="B347" s="451"/>
      <c r="C347" s="451"/>
      <c r="D347" s="451"/>
      <c r="E347" s="451"/>
      <c r="F347" s="451"/>
      <c r="G347" s="451"/>
      <c r="H347" s="451"/>
      <c r="I347" s="451"/>
      <c r="J347" s="451"/>
      <c r="K347" s="451"/>
      <c r="L347" s="451"/>
      <c r="M347" s="451"/>
      <c r="N347" s="451"/>
      <c r="O347" s="452"/>
      <c r="P347" s="452"/>
      <c r="Q347" s="452"/>
      <c r="R347" s="452"/>
      <c r="S347" s="452"/>
      <c r="T347" s="452"/>
      <c r="U347" s="452"/>
    </row>
    <row r="348" spans="1:21" x14ac:dyDescent="0.2">
      <c r="A348" s="204">
        <f t="shared" si="5"/>
        <v>325</v>
      </c>
      <c r="B348" s="451"/>
      <c r="C348" s="451"/>
      <c r="D348" s="451"/>
      <c r="E348" s="451"/>
      <c r="F348" s="451"/>
      <c r="G348" s="451"/>
      <c r="H348" s="451"/>
      <c r="I348" s="451"/>
      <c r="J348" s="451"/>
      <c r="K348" s="451"/>
      <c r="L348" s="451"/>
      <c r="M348" s="451"/>
      <c r="N348" s="451"/>
      <c r="O348" s="452"/>
      <c r="P348" s="452"/>
      <c r="Q348" s="452"/>
      <c r="R348" s="452"/>
      <c r="S348" s="452"/>
      <c r="T348" s="452"/>
      <c r="U348" s="452"/>
    </row>
    <row r="349" spans="1:21" x14ac:dyDescent="0.2">
      <c r="A349" s="204">
        <f t="shared" si="5"/>
        <v>326</v>
      </c>
      <c r="B349" s="451"/>
      <c r="C349" s="451"/>
      <c r="D349" s="451"/>
      <c r="E349" s="451"/>
      <c r="F349" s="451"/>
      <c r="G349" s="451"/>
      <c r="H349" s="451"/>
      <c r="I349" s="451"/>
      <c r="J349" s="451"/>
      <c r="K349" s="451"/>
      <c r="L349" s="451"/>
      <c r="M349" s="451"/>
      <c r="N349" s="451"/>
      <c r="O349" s="452"/>
      <c r="P349" s="452"/>
      <c r="Q349" s="452"/>
      <c r="R349" s="452"/>
      <c r="S349" s="452"/>
      <c r="T349" s="452"/>
      <c r="U349" s="452"/>
    </row>
    <row r="350" spans="1:21" x14ac:dyDescent="0.2">
      <c r="A350" s="204">
        <f t="shared" si="5"/>
        <v>327</v>
      </c>
      <c r="B350" s="451"/>
      <c r="C350" s="451"/>
      <c r="D350" s="451"/>
      <c r="E350" s="451"/>
      <c r="F350" s="451"/>
      <c r="G350" s="451"/>
      <c r="H350" s="451"/>
      <c r="I350" s="451"/>
      <c r="J350" s="451"/>
      <c r="K350" s="451"/>
      <c r="L350" s="451"/>
      <c r="M350" s="451"/>
      <c r="N350" s="451"/>
      <c r="O350" s="452"/>
      <c r="P350" s="452"/>
      <c r="Q350" s="452"/>
      <c r="R350" s="452"/>
      <c r="S350" s="452"/>
      <c r="T350" s="452"/>
      <c r="U350" s="452"/>
    </row>
    <row r="351" spans="1:21" x14ac:dyDescent="0.2">
      <c r="A351" s="204">
        <f t="shared" si="5"/>
        <v>328</v>
      </c>
      <c r="B351" s="451"/>
      <c r="C351" s="451"/>
      <c r="D351" s="451"/>
      <c r="E351" s="451"/>
      <c r="F351" s="451"/>
      <c r="G351" s="451"/>
      <c r="H351" s="451"/>
      <c r="I351" s="451"/>
      <c r="J351" s="451"/>
      <c r="K351" s="451"/>
      <c r="L351" s="451"/>
      <c r="M351" s="451"/>
      <c r="N351" s="451"/>
      <c r="O351" s="452"/>
      <c r="P351" s="452"/>
      <c r="Q351" s="452"/>
      <c r="R351" s="452"/>
      <c r="S351" s="452"/>
      <c r="T351" s="452"/>
      <c r="U351" s="452"/>
    </row>
    <row r="352" spans="1:21" x14ac:dyDescent="0.2">
      <c r="A352" s="204">
        <f t="shared" si="5"/>
        <v>329</v>
      </c>
      <c r="B352" s="451"/>
      <c r="C352" s="451"/>
      <c r="D352" s="451"/>
      <c r="E352" s="451"/>
      <c r="F352" s="451"/>
      <c r="G352" s="451"/>
      <c r="H352" s="451"/>
      <c r="I352" s="451"/>
      <c r="J352" s="451"/>
      <c r="K352" s="451"/>
      <c r="L352" s="451"/>
      <c r="M352" s="451"/>
      <c r="N352" s="451"/>
      <c r="O352" s="452"/>
      <c r="P352" s="452"/>
      <c r="Q352" s="452"/>
      <c r="R352" s="452"/>
      <c r="S352" s="452"/>
      <c r="T352" s="452"/>
      <c r="U352" s="452"/>
    </row>
    <row r="353" spans="1:21" x14ac:dyDescent="0.2">
      <c r="A353" s="204">
        <f t="shared" si="5"/>
        <v>330</v>
      </c>
      <c r="B353" s="451"/>
      <c r="C353" s="451"/>
      <c r="D353" s="451"/>
      <c r="E353" s="451"/>
      <c r="F353" s="451"/>
      <c r="G353" s="451"/>
      <c r="H353" s="451"/>
      <c r="I353" s="451"/>
      <c r="J353" s="451"/>
      <c r="K353" s="451"/>
      <c r="L353" s="451"/>
      <c r="M353" s="451"/>
      <c r="N353" s="451"/>
      <c r="O353" s="452"/>
      <c r="P353" s="452"/>
      <c r="Q353" s="452"/>
      <c r="R353" s="452"/>
      <c r="S353" s="452"/>
      <c r="T353" s="452"/>
      <c r="U353" s="452"/>
    </row>
    <row r="354" spans="1:21" x14ac:dyDescent="0.2">
      <c r="A354" s="204">
        <f t="shared" si="5"/>
        <v>331</v>
      </c>
      <c r="B354" s="451"/>
      <c r="C354" s="451"/>
      <c r="D354" s="451"/>
      <c r="E354" s="451"/>
      <c r="F354" s="451"/>
      <c r="G354" s="451"/>
      <c r="H354" s="451"/>
      <c r="I354" s="451"/>
      <c r="J354" s="451"/>
      <c r="K354" s="451"/>
      <c r="L354" s="451"/>
      <c r="M354" s="451"/>
      <c r="N354" s="451"/>
      <c r="O354" s="452"/>
      <c r="P354" s="452"/>
      <c r="Q354" s="452"/>
      <c r="R354" s="452"/>
      <c r="S354" s="452"/>
      <c r="T354" s="452"/>
      <c r="U354" s="452"/>
    </row>
    <row r="355" spans="1:21" x14ac:dyDescent="0.2">
      <c r="A355" s="204">
        <f t="shared" si="5"/>
        <v>332</v>
      </c>
      <c r="B355" s="451"/>
      <c r="C355" s="451"/>
      <c r="D355" s="451"/>
      <c r="E355" s="451"/>
      <c r="F355" s="451"/>
      <c r="G355" s="451"/>
      <c r="H355" s="451"/>
      <c r="I355" s="451"/>
      <c r="J355" s="451"/>
      <c r="K355" s="451"/>
      <c r="L355" s="451"/>
      <c r="M355" s="451"/>
      <c r="N355" s="451"/>
      <c r="O355" s="452"/>
      <c r="P355" s="452"/>
      <c r="Q355" s="452"/>
      <c r="R355" s="452"/>
      <c r="S355" s="452"/>
      <c r="T355" s="452"/>
      <c r="U355" s="452"/>
    </row>
    <row r="356" spans="1:21" x14ac:dyDescent="0.2">
      <c r="A356" s="204">
        <f t="shared" si="5"/>
        <v>333</v>
      </c>
      <c r="B356" s="451"/>
      <c r="C356" s="451"/>
      <c r="D356" s="451"/>
      <c r="E356" s="451"/>
      <c r="F356" s="451"/>
      <c r="G356" s="451"/>
      <c r="H356" s="451"/>
      <c r="I356" s="451"/>
      <c r="J356" s="451"/>
      <c r="K356" s="451"/>
      <c r="L356" s="451"/>
      <c r="M356" s="451"/>
      <c r="N356" s="451"/>
      <c r="O356" s="452"/>
      <c r="P356" s="452"/>
      <c r="Q356" s="452"/>
      <c r="R356" s="452"/>
      <c r="S356" s="452"/>
      <c r="T356" s="452"/>
      <c r="U356" s="452"/>
    </row>
    <row r="357" spans="1:21" x14ac:dyDescent="0.2">
      <c r="A357" s="204">
        <f t="shared" si="5"/>
        <v>334</v>
      </c>
      <c r="B357" s="451"/>
      <c r="C357" s="451"/>
      <c r="D357" s="451"/>
      <c r="E357" s="451"/>
      <c r="F357" s="451"/>
      <c r="G357" s="451"/>
      <c r="H357" s="451"/>
      <c r="I357" s="451"/>
      <c r="J357" s="451"/>
      <c r="K357" s="451"/>
      <c r="L357" s="451"/>
      <c r="M357" s="451"/>
      <c r="N357" s="451"/>
      <c r="O357" s="452"/>
      <c r="P357" s="452"/>
      <c r="Q357" s="452"/>
      <c r="R357" s="452"/>
      <c r="S357" s="452"/>
      <c r="T357" s="452"/>
      <c r="U357" s="452"/>
    </row>
    <row r="358" spans="1:21" x14ac:dyDescent="0.2">
      <c r="A358" s="204">
        <f t="shared" si="5"/>
        <v>335</v>
      </c>
      <c r="B358" s="451"/>
      <c r="C358" s="451"/>
      <c r="D358" s="451"/>
      <c r="E358" s="451"/>
      <c r="F358" s="451"/>
      <c r="G358" s="451"/>
      <c r="H358" s="451"/>
      <c r="I358" s="451"/>
      <c r="J358" s="451"/>
      <c r="K358" s="451"/>
      <c r="L358" s="451"/>
      <c r="M358" s="451"/>
      <c r="N358" s="451"/>
      <c r="O358" s="452"/>
      <c r="P358" s="452"/>
      <c r="Q358" s="452"/>
      <c r="R358" s="452"/>
      <c r="S358" s="452"/>
      <c r="T358" s="452"/>
      <c r="U358" s="452"/>
    </row>
    <row r="359" spans="1:21" x14ac:dyDescent="0.2">
      <c r="A359" s="204">
        <f t="shared" si="5"/>
        <v>336</v>
      </c>
      <c r="B359" s="451"/>
      <c r="C359" s="451"/>
      <c r="D359" s="451"/>
      <c r="E359" s="451"/>
      <c r="F359" s="451"/>
      <c r="G359" s="451"/>
      <c r="H359" s="451"/>
      <c r="I359" s="451"/>
      <c r="J359" s="451"/>
      <c r="K359" s="451"/>
      <c r="L359" s="451"/>
      <c r="M359" s="451"/>
      <c r="N359" s="451"/>
      <c r="O359" s="452"/>
      <c r="P359" s="452"/>
      <c r="Q359" s="452"/>
      <c r="R359" s="452"/>
      <c r="S359" s="452"/>
      <c r="T359" s="452"/>
      <c r="U359" s="452"/>
    </row>
    <row r="360" spans="1:21" x14ac:dyDescent="0.2">
      <c r="A360" s="204">
        <f t="shared" si="5"/>
        <v>337</v>
      </c>
      <c r="B360" s="451"/>
      <c r="C360" s="451"/>
      <c r="D360" s="451"/>
      <c r="E360" s="451"/>
      <c r="F360" s="451"/>
      <c r="G360" s="451"/>
      <c r="H360" s="451"/>
      <c r="I360" s="451"/>
      <c r="J360" s="451"/>
      <c r="K360" s="451"/>
      <c r="L360" s="451"/>
      <c r="M360" s="451"/>
      <c r="N360" s="451"/>
      <c r="O360" s="452"/>
      <c r="P360" s="452"/>
      <c r="Q360" s="452"/>
      <c r="R360" s="452"/>
      <c r="S360" s="452"/>
      <c r="T360" s="452"/>
      <c r="U360" s="452"/>
    </row>
    <row r="361" spans="1:21" x14ac:dyDescent="0.2">
      <c r="A361" s="204">
        <f t="shared" si="5"/>
        <v>338</v>
      </c>
      <c r="B361" s="451"/>
      <c r="C361" s="451"/>
      <c r="D361" s="451"/>
      <c r="E361" s="451"/>
      <c r="F361" s="451"/>
      <c r="G361" s="451"/>
      <c r="H361" s="451"/>
      <c r="I361" s="451"/>
      <c r="J361" s="451"/>
      <c r="K361" s="451"/>
      <c r="L361" s="451"/>
      <c r="M361" s="451"/>
      <c r="N361" s="451"/>
      <c r="O361" s="452"/>
      <c r="P361" s="452"/>
      <c r="Q361" s="452"/>
      <c r="R361" s="452"/>
      <c r="S361" s="452"/>
      <c r="T361" s="452"/>
      <c r="U361" s="452"/>
    </row>
    <row r="362" spans="1:21" x14ac:dyDescent="0.2">
      <c r="A362" s="204">
        <f t="shared" si="5"/>
        <v>339</v>
      </c>
      <c r="B362" s="451"/>
      <c r="C362" s="451"/>
      <c r="D362" s="451"/>
      <c r="E362" s="451"/>
      <c r="F362" s="451"/>
      <c r="G362" s="451"/>
      <c r="H362" s="451"/>
      <c r="I362" s="451"/>
      <c r="J362" s="451"/>
      <c r="K362" s="451"/>
      <c r="L362" s="451"/>
      <c r="M362" s="451"/>
      <c r="N362" s="451"/>
      <c r="O362" s="452"/>
      <c r="P362" s="452"/>
      <c r="Q362" s="452"/>
      <c r="R362" s="452"/>
      <c r="S362" s="452"/>
      <c r="T362" s="452"/>
      <c r="U362" s="452"/>
    </row>
    <row r="363" spans="1:21" x14ac:dyDescent="0.2">
      <c r="A363" s="204">
        <f t="shared" si="5"/>
        <v>340</v>
      </c>
      <c r="B363" s="451"/>
      <c r="C363" s="451"/>
      <c r="D363" s="451"/>
      <c r="E363" s="451"/>
      <c r="F363" s="451"/>
      <c r="G363" s="451"/>
      <c r="H363" s="451"/>
      <c r="I363" s="451"/>
      <c r="J363" s="451"/>
      <c r="K363" s="451"/>
      <c r="L363" s="451"/>
      <c r="M363" s="451"/>
      <c r="N363" s="451"/>
      <c r="O363" s="452"/>
      <c r="P363" s="452"/>
      <c r="Q363" s="452"/>
      <c r="R363" s="452"/>
      <c r="S363" s="452"/>
      <c r="T363" s="452"/>
      <c r="U363" s="452"/>
    </row>
    <row r="364" spans="1:21" x14ac:dyDescent="0.2">
      <c r="A364" s="204">
        <f t="shared" si="5"/>
        <v>341</v>
      </c>
      <c r="B364" s="451"/>
      <c r="C364" s="451"/>
      <c r="D364" s="451"/>
      <c r="E364" s="451"/>
      <c r="F364" s="451"/>
      <c r="G364" s="451"/>
      <c r="H364" s="451"/>
      <c r="I364" s="451"/>
      <c r="J364" s="451"/>
      <c r="K364" s="451"/>
      <c r="L364" s="451"/>
      <c r="M364" s="451"/>
      <c r="N364" s="451"/>
      <c r="O364" s="452"/>
      <c r="P364" s="452"/>
      <c r="Q364" s="452"/>
      <c r="R364" s="452"/>
      <c r="S364" s="452"/>
      <c r="T364" s="452"/>
      <c r="U364" s="452"/>
    </row>
    <row r="365" spans="1:21" x14ac:dyDescent="0.2">
      <c r="A365" s="204">
        <f t="shared" si="5"/>
        <v>342</v>
      </c>
      <c r="B365" s="451"/>
      <c r="C365" s="451"/>
      <c r="D365" s="451"/>
      <c r="E365" s="451"/>
      <c r="F365" s="451"/>
      <c r="G365" s="451"/>
      <c r="H365" s="451"/>
      <c r="I365" s="451"/>
      <c r="J365" s="451"/>
      <c r="K365" s="451"/>
      <c r="L365" s="451"/>
      <c r="M365" s="451"/>
      <c r="N365" s="451"/>
      <c r="O365" s="452"/>
      <c r="P365" s="452"/>
      <c r="Q365" s="452"/>
      <c r="R365" s="452"/>
      <c r="S365" s="452"/>
      <c r="T365" s="452"/>
      <c r="U365" s="452"/>
    </row>
    <row r="366" spans="1:21" x14ac:dyDescent="0.2">
      <c r="A366" s="204">
        <f t="shared" si="5"/>
        <v>343</v>
      </c>
      <c r="B366" s="451"/>
      <c r="C366" s="451"/>
      <c r="D366" s="451"/>
      <c r="E366" s="451"/>
      <c r="F366" s="451"/>
      <c r="G366" s="451"/>
      <c r="H366" s="451"/>
      <c r="I366" s="451"/>
      <c r="J366" s="451"/>
      <c r="K366" s="451"/>
      <c r="L366" s="451"/>
      <c r="M366" s="451"/>
      <c r="N366" s="451"/>
      <c r="O366" s="452"/>
      <c r="P366" s="452"/>
      <c r="Q366" s="452"/>
      <c r="R366" s="452"/>
      <c r="S366" s="452"/>
      <c r="T366" s="452"/>
      <c r="U366" s="452"/>
    </row>
    <row r="367" spans="1:21" x14ac:dyDescent="0.2">
      <c r="A367" s="204">
        <f t="shared" si="5"/>
        <v>344</v>
      </c>
      <c r="B367" s="451"/>
      <c r="C367" s="451"/>
      <c r="D367" s="451"/>
      <c r="E367" s="451"/>
      <c r="F367" s="451"/>
      <c r="G367" s="451"/>
      <c r="H367" s="451"/>
      <c r="I367" s="451"/>
      <c r="J367" s="451"/>
      <c r="K367" s="451"/>
      <c r="L367" s="451"/>
      <c r="M367" s="451"/>
      <c r="N367" s="451"/>
      <c r="O367" s="452"/>
      <c r="P367" s="452"/>
      <c r="Q367" s="452"/>
      <c r="R367" s="452"/>
      <c r="S367" s="452"/>
      <c r="T367" s="452"/>
      <c r="U367" s="452"/>
    </row>
    <row r="368" spans="1:21" x14ac:dyDescent="0.2">
      <c r="A368" s="204">
        <f t="shared" si="5"/>
        <v>345</v>
      </c>
      <c r="B368" s="451"/>
      <c r="C368" s="451"/>
      <c r="D368" s="451"/>
      <c r="E368" s="451"/>
      <c r="F368" s="451"/>
      <c r="G368" s="451"/>
      <c r="H368" s="451"/>
      <c r="I368" s="451"/>
      <c r="J368" s="451"/>
      <c r="K368" s="451"/>
      <c r="L368" s="451"/>
      <c r="M368" s="451"/>
      <c r="N368" s="451"/>
      <c r="O368" s="452"/>
      <c r="P368" s="452"/>
      <c r="Q368" s="452"/>
      <c r="R368" s="452"/>
      <c r="S368" s="452"/>
      <c r="T368" s="452"/>
      <c r="U368" s="452"/>
    </row>
    <row r="369" spans="1:21" x14ac:dyDescent="0.2">
      <c r="A369" s="204">
        <f t="shared" si="5"/>
        <v>346</v>
      </c>
      <c r="B369" s="451"/>
      <c r="C369" s="451"/>
      <c r="D369" s="451"/>
      <c r="E369" s="451"/>
      <c r="F369" s="451"/>
      <c r="G369" s="451"/>
      <c r="H369" s="451"/>
      <c r="I369" s="451"/>
      <c r="J369" s="451"/>
      <c r="K369" s="451"/>
      <c r="L369" s="451"/>
      <c r="M369" s="451"/>
      <c r="N369" s="451"/>
      <c r="O369" s="452"/>
      <c r="P369" s="452"/>
      <c r="Q369" s="452"/>
      <c r="R369" s="452"/>
      <c r="S369" s="452"/>
      <c r="T369" s="452"/>
      <c r="U369" s="452"/>
    </row>
    <row r="370" spans="1:21" x14ac:dyDescent="0.2">
      <c r="A370" s="204">
        <f t="shared" si="5"/>
        <v>347</v>
      </c>
      <c r="B370" s="451"/>
      <c r="C370" s="451"/>
      <c r="D370" s="451"/>
      <c r="E370" s="451"/>
      <c r="F370" s="451"/>
      <c r="G370" s="451"/>
      <c r="H370" s="451"/>
      <c r="I370" s="451"/>
      <c r="J370" s="451"/>
      <c r="K370" s="451"/>
      <c r="L370" s="451"/>
      <c r="M370" s="451"/>
      <c r="N370" s="451"/>
      <c r="O370" s="452"/>
      <c r="P370" s="452"/>
      <c r="Q370" s="452"/>
      <c r="R370" s="452"/>
      <c r="S370" s="452"/>
      <c r="T370" s="452"/>
      <c r="U370" s="452"/>
    </row>
    <row r="371" spans="1:21" x14ac:dyDescent="0.2">
      <c r="A371" s="204">
        <f t="shared" si="5"/>
        <v>348</v>
      </c>
      <c r="B371" s="451"/>
      <c r="C371" s="451"/>
      <c r="D371" s="451"/>
      <c r="E371" s="451"/>
      <c r="F371" s="451"/>
      <c r="G371" s="451"/>
      <c r="H371" s="451"/>
      <c r="I371" s="451"/>
      <c r="J371" s="451"/>
      <c r="K371" s="451"/>
      <c r="L371" s="451"/>
      <c r="M371" s="451"/>
      <c r="N371" s="451"/>
      <c r="O371" s="452"/>
      <c r="P371" s="452"/>
      <c r="Q371" s="452"/>
      <c r="R371" s="452"/>
      <c r="S371" s="452"/>
      <c r="T371" s="452"/>
      <c r="U371" s="452"/>
    </row>
    <row r="372" spans="1:21" x14ac:dyDescent="0.2">
      <c r="A372" s="204">
        <f t="shared" si="5"/>
        <v>349</v>
      </c>
      <c r="B372" s="451"/>
      <c r="C372" s="451"/>
      <c r="D372" s="451"/>
      <c r="E372" s="451"/>
      <c r="F372" s="451"/>
      <c r="G372" s="451"/>
      <c r="H372" s="451"/>
      <c r="I372" s="451"/>
      <c r="J372" s="451"/>
      <c r="K372" s="451"/>
      <c r="L372" s="451"/>
      <c r="M372" s="451"/>
      <c r="N372" s="451"/>
      <c r="O372" s="452"/>
      <c r="P372" s="452"/>
      <c r="Q372" s="452"/>
      <c r="R372" s="452"/>
      <c r="S372" s="452"/>
      <c r="T372" s="452"/>
      <c r="U372" s="452"/>
    </row>
    <row r="373" spans="1:21" x14ac:dyDescent="0.2">
      <c r="A373" s="204">
        <f t="shared" si="5"/>
        <v>350</v>
      </c>
      <c r="B373" s="451"/>
      <c r="C373" s="451"/>
      <c r="D373" s="451"/>
      <c r="E373" s="451"/>
      <c r="F373" s="451"/>
      <c r="G373" s="451"/>
      <c r="H373" s="451"/>
      <c r="I373" s="451"/>
      <c r="J373" s="451"/>
      <c r="K373" s="451"/>
      <c r="L373" s="451"/>
      <c r="M373" s="451"/>
      <c r="N373" s="451"/>
      <c r="O373" s="452"/>
      <c r="P373" s="452"/>
      <c r="Q373" s="452"/>
      <c r="R373" s="452"/>
      <c r="S373" s="452"/>
      <c r="T373" s="452"/>
      <c r="U373" s="452"/>
    </row>
    <row r="374" spans="1:21" x14ac:dyDescent="0.2">
      <c r="A374" s="204">
        <f t="shared" si="5"/>
        <v>351</v>
      </c>
      <c r="B374" s="451"/>
      <c r="C374" s="451"/>
      <c r="D374" s="451"/>
      <c r="E374" s="451"/>
      <c r="F374" s="451"/>
      <c r="G374" s="451"/>
      <c r="H374" s="451"/>
      <c r="I374" s="451"/>
      <c r="J374" s="451"/>
      <c r="K374" s="451"/>
      <c r="L374" s="451"/>
      <c r="M374" s="451"/>
      <c r="N374" s="451"/>
      <c r="O374" s="452"/>
      <c r="P374" s="452"/>
      <c r="Q374" s="452"/>
      <c r="R374" s="452"/>
      <c r="S374" s="452"/>
      <c r="T374" s="452"/>
      <c r="U374" s="452"/>
    </row>
    <row r="375" spans="1:21" x14ac:dyDescent="0.2">
      <c r="A375" s="204">
        <f t="shared" si="5"/>
        <v>352</v>
      </c>
      <c r="B375" s="451"/>
      <c r="C375" s="451"/>
      <c r="D375" s="451"/>
      <c r="E375" s="451"/>
      <c r="F375" s="451"/>
      <c r="G375" s="451"/>
      <c r="H375" s="451"/>
      <c r="I375" s="451"/>
      <c r="J375" s="451"/>
      <c r="K375" s="451"/>
      <c r="L375" s="451"/>
      <c r="M375" s="451"/>
      <c r="N375" s="451"/>
      <c r="O375" s="452"/>
      <c r="P375" s="452"/>
      <c r="Q375" s="452"/>
      <c r="R375" s="452"/>
      <c r="S375" s="452"/>
      <c r="T375" s="452"/>
      <c r="U375" s="452"/>
    </row>
    <row r="376" spans="1:21" x14ac:dyDescent="0.2">
      <c r="A376" s="204">
        <f t="shared" si="5"/>
        <v>353</v>
      </c>
      <c r="B376" s="451"/>
      <c r="C376" s="451"/>
      <c r="D376" s="451"/>
      <c r="E376" s="451"/>
      <c r="F376" s="451"/>
      <c r="G376" s="451"/>
      <c r="H376" s="451"/>
      <c r="I376" s="451"/>
      <c r="J376" s="451"/>
      <c r="K376" s="451"/>
      <c r="L376" s="451"/>
      <c r="M376" s="451"/>
      <c r="N376" s="451"/>
      <c r="O376" s="452"/>
      <c r="P376" s="452"/>
      <c r="Q376" s="452"/>
      <c r="R376" s="452"/>
      <c r="S376" s="452"/>
      <c r="T376" s="452"/>
      <c r="U376" s="452"/>
    </row>
    <row r="377" spans="1:21" x14ac:dyDescent="0.2">
      <c r="A377" s="204">
        <f t="shared" si="5"/>
        <v>354</v>
      </c>
      <c r="B377" s="451"/>
      <c r="C377" s="451"/>
      <c r="D377" s="451"/>
      <c r="E377" s="451"/>
      <c r="F377" s="451"/>
      <c r="G377" s="451"/>
      <c r="H377" s="451"/>
      <c r="I377" s="451"/>
      <c r="J377" s="451"/>
      <c r="K377" s="451"/>
      <c r="L377" s="451"/>
      <c r="M377" s="451"/>
      <c r="N377" s="451"/>
      <c r="O377" s="452"/>
      <c r="P377" s="452"/>
      <c r="Q377" s="452"/>
      <c r="R377" s="452"/>
      <c r="S377" s="452"/>
      <c r="T377" s="452"/>
      <c r="U377" s="452"/>
    </row>
    <row r="378" spans="1:21" x14ac:dyDescent="0.2">
      <c r="A378" s="204">
        <f t="shared" si="5"/>
        <v>355</v>
      </c>
      <c r="B378" s="451"/>
      <c r="C378" s="451"/>
      <c r="D378" s="451"/>
      <c r="E378" s="451"/>
      <c r="F378" s="451"/>
      <c r="G378" s="451"/>
      <c r="H378" s="451"/>
      <c r="I378" s="451"/>
      <c r="J378" s="451"/>
      <c r="K378" s="451"/>
      <c r="L378" s="451"/>
      <c r="M378" s="451"/>
      <c r="N378" s="451"/>
      <c r="O378" s="452"/>
      <c r="P378" s="452"/>
      <c r="Q378" s="452"/>
      <c r="R378" s="452"/>
      <c r="S378" s="452"/>
      <c r="T378" s="452"/>
      <c r="U378" s="452"/>
    </row>
    <row r="379" spans="1:21" x14ac:dyDescent="0.2">
      <c r="A379" s="204">
        <f t="shared" si="5"/>
        <v>356</v>
      </c>
      <c r="B379" s="451"/>
      <c r="C379" s="451"/>
      <c r="D379" s="451"/>
      <c r="E379" s="451"/>
      <c r="F379" s="451"/>
      <c r="G379" s="451"/>
      <c r="H379" s="451"/>
      <c r="I379" s="451"/>
      <c r="J379" s="451"/>
      <c r="K379" s="451"/>
      <c r="L379" s="451"/>
      <c r="M379" s="451"/>
      <c r="N379" s="451"/>
      <c r="O379" s="452"/>
      <c r="P379" s="452"/>
      <c r="Q379" s="452"/>
      <c r="R379" s="452"/>
      <c r="S379" s="452"/>
      <c r="T379" s="452"/>
      <c r="U379" s="452"/>
    </row>
    <row r="380" spans="1:21" x14ac:dyDescent="0.2">
      <c r="A380" s="204">
        <f t="shared" si="5"/>
        <v>357</v>
      </c>
      <c r="B380" s="451"/>
      <c r="C380" s="451"/>
      <c r="D380" s="451"/>
      <c r="E380" s="451"/>
      <c r="F380" s="451"/>
      <c r="G380" s="451"/>
      <c r="H380" s="451"/>
      <c r="I380" s="451"/>
      <c r="J380" s="451"/>
      <c r="K380" s="451"/>
      <c r="L380" s="451"/>
      <c r="M380" s="451"/>
      <c r="N380" s="451"/>
      <c r="O380" s="452"/>
      <c r="P380" s="452"/>
      <c r="Q380" s="452"/>
      <c r="R380" s="452"/>
      <c r="S380" s="452"/>
      <c r="T380" s="452"/>
      <c r="U380" s="452"/>
    </row>
    <row r="381" spans="1:21" x14ac:dyDescent="0.2">
      <c r="A381" s="204">
        <f t="shared" si="5"/>
        <v>358</v>
      </c>
      <c r="B381" s="451"/>
      <c r="C381" s="451"/>
      <c r="D381" s="451"/>
      <c r="E381" s="451"/>
      <c r="F381" s="451"/>
      <c r="G381" s="451"/>
      <c r="H381" s="451"/>
      <c r="I381" s="451"/>
      <c r="J381" s="451"/>
      <c r="K381" s="451"/>
      <c r="L381" s="451"/>
      <c r="M381" s="451"/>
      <c r="N381" s="451"/>
      <c r="O381" s="452"/>
      <c r="P381" s="452"/>
      <c r="Q381" s="452"/>
      <c r="R381" s="452"/>
      <c r="S381" s="452"/>
      <c r="T381" s="452"/>
      <c r="U381" s="452"/>
    </row>
    <row r="382" spans="1:21" x14ac:dyDescent="0.2">
      <c r="A382" s="204">
        <f t="shared" si="5"/>
        <v>359</v>
      </c>
      <c r="B382" s="451"/>
      <c r="C382" s="451"/>
      <c r="D382" s="451"/>
      <c r="E382" s="451"/>
      <c r="F382" s="451"/>
      <c r="G382" s="451"/>
      <c r="H382" s="451"/>
      <c r="I382" s="451"/>
      <c r="J382" s="451"/>
      <c r="K382" s="451"/>
      <c r="L382" s="451"/>
      <c r="M382" s="451"/>
      <c r="N382" s="451"/>
      <c r="O382" s="452"/>
      <c r="P382" s="452"/>
      <c r="Q382" s="452"/>
      <c r="R382" s="452"/>
      <c r="S382" s="452"/>
      <c r="T382" s="452"/>
      <c r="U382" s="452"/>
    </row>
    <row r="383" spans="1:21" x14ac:dyDescent="0.2">
      <c r="A383" s="204">
        <f t="shared" si="5"/>
        <v>360</v>
      </c>
      <c r="B383" s="451"/>
      <c r="C383" s="451"/>
      <c r="D383" s="451"/>
      <c r="E383" s="451"/>
      <c r="F383" s="451"/>
      <c r="G383" s="451"/>
      <c r="H383" s="451"/>
      <c r="I383" s="451"/>
      <c r="J383" s="451"/>
      <c r="K383" s="451"/>
      <c r="L383" s="451"/>
      <c r="M383" s="451"/>
      <c r="N383" s="451"/>
      <c r="O383" s="452"/>
      <c r="P383" s="452"/>
      <c r="Q383" s="452"/>
      <c r="R383" s="452"/>
      <c r="S383" s="452"/>
      <c r="T383" s="452"/>
      <c r="U383" s="452"/>
    </row>
    <row r="384" spans="1:21" x14ac:dyDescent="0.2">
      <c r="A384" s="204">
        <f t="shared" si="5"/>
        <v>361</v>
      </c>
      <c r="B384" s="451"/>
      <c r="C384" s="451"/>
      <c r="D384" s="451"/>
      <c r="E384" s="451"/>
      <c r="F384" s="451"/>
      <c r="G384" s="451"/>
      <c r="H384" s="451"/>
      <c r="I384" s="451"/>
      <c r="J384" s="451"/>
      <c r="K384" s="451"/>
      <c r="L384" s="451"/>
      <c r="M384" s="451"/>
      <c r="N384" s="451"/>
      <c r="O384" s="452"/>
      <c r="P384" s="452"/>
      <c r="Q384" s="452"/>
      <c r="R384" s="452"/>
      <c r="S384" s="452"/>
      <c r="T384" s="452"/>
      <c r="U384" s="452"/>
    </row>
    <row r="385" spans="1:21" x14ac:dyDescent="0.2">
      <c r="A385" s="204">
        <f t="shared" si="5"/>
        <v>362</v>
      </c>
      <c r="B385" s="451"/>
      <c r="C385" s="451"/>
      <c r="D385" s="451"/>
      <c r="E385" s="451"/>
      <c r="F385" s="451"/>
      <c r="G385" s="451"/>
      <c r="H385" s="451"/>
      <c r="I385" s="451"/>
      <c r="J385" s="451"/>
      <c r="K385" s="451"/>
      <c r="L385" s="451"/>
      <c r="M385" s="451"/>
      <c r="N385" s="451"/>
      <c r="O385" s="452"/>
      <c r="P385" s="452"/>
      <c r="Q385" s="452"/>
      <c r="R385" s="452"/>
      <c r="S385" s="452"/>
      <c r="T385" s="452"/>
      <c r="U385" s="452"/>
    </row>
    <row r="386" spans="1:21" x14ac:dyDescent="0.2">
      <c r="A386" s="204">
        <f t="shared" si="5"/>
        <v>363</v>
      </c>
      <c r="B386" s="451"/>
      <c r="C386" s="451"/>
      <c r="D386" s="451"/>
      <c r="E386" s="451"/>
      <c r="F386" s="451"/>
      <c r="G386" s="451"/>
      <c r="H386" s="451"/>
      <c r="I386" s="451"/>
      <c r="J386" s="451"/>
      <c r="K386" s="451"/>
      <c r="L386" s="451"/>
      <c r="M386" s="451"/>
      <c r="N386" s="451"/>
      <c r="O386" s="452"/>
      <c r="P386" s="452"/>
      <c r="Q386" s="452"/>
      <c r="R386" s="452"/>
      <c r="S386" s="452"/>
      <c r="T386" s="452"/>
      <c r="U386" s="452"/>
    </row>
    <row r="387" spans="1:21" x14ac:dyDescent="0.2">
      <c r="A387" s="204">
        <f t="shared" si="5"/>
        <v>364</v>
      </c>
      <c r="B387" s="451"/>
      <c r="C387" s="451"/>
      <c r="D387" s="451"/>
      <c r="E387" s="451"/>
      <c r="F387" s="451"/>
      <c r="G387" s="451"/>
      <c r="H387" s="451"/>
      <c r="I387" s="451"/>
      <c r="J387" s="451"/>
      <c r="K387" s="451"/>
      <c r="L387" s="451"/>
      <c r="M387" s="451"/>
      <c r="N387" s="451"/>
      <c r="O387" s="452"/>
      <c r="P387" s="452"/>
      <c r="Q387" s="452"/>
      <c r="R387" s="452"/>
      <c r="S387" s="452"/>
      <c r="T387" s="452"/>
      <c r="U387" s="452"/>
    </row>
    <row r="388" spans="1:21" x14ac:dyDescent="0.2">
      <c r="A388" s="204">
        <f t="shared" si="5"/>
        <v>365</v>
      </c>
      <c r="B388" s="451"/>
      <c r="C388" s="451"/>
      <c r="D388" s="451"/>
      <c r="E388" s="451"/>
      <c r="F388" s="451"/>
      <c r="G388" s="451"/>
      <c r="H388" s="451"/>
      <c r="I388" s="451"/>
      <c r="J388" s="451"/>
      <c r="K388" s="451"/>
      <c r="L388" s="451"/>
      <c r="M388" s="451"/>
      <c r="N388" s="451"/>
      <c r="O388" s="452"/>
      <c r="P388" s="452"/>
      <c r="Q388" s="452"/>
      <c r="R388" s="452"/>
      <c r="S388" s="452"/>
      <c r="T388" s="452"/>
      <c r="U388" s="452"/>
    </row>
    <row r="389" spans="1:21" x14ac:dyDescent="0.2">
      <c r="A389" s="204">
        <f t="shared" si="5"/>
        <v>366</v>
      </c>
      <c r="B389" s="451"/>
      <c r="C389" s="451"/>
      <c r="D389" s="451"/>
      <c r="E389" s="451"/>
      <c r="F389" s="451"/>
      <c r="G389" s="451"/>
      <c r="H389" s="451"/>
      <c r="I389" s="451"/>
      <c r="J389" s="451"/>
      <c r="K389" s="451"/>
      <c r="L389" s="451"/>
      <c r="M389" s="451"/>
      <c r="N389" s="451"/>
      <c r="O389" s="452"/>
      <c r="P389" s="452"/>
      <c r="Q389" s="452"/>
      <c r="R389" s="452"/>
      <c r="S389" s="452"/>
      <c r="T389" s="452"/>
      <c r="U389" s="452"/>
    </row>
    <row r="390" spans="1:21" x14ac:dyDescent="0.2">
      <c r="A390" s="204">
        <f t="shared" si="5"/>
        <v>367</v>
      </c>
      <c r="B390" s="451"/>
      <c r="C390" s="451"/>
      <c r="D390" s="451"/>
      <c r="E390" s="451"/>
      <c r="F390" s="451"/>
      <c r="G390" s="451"/>
      <c r="H390" s="451"/>
      <c r="I390" s="451"/>
      <c r="J390" s="451"/>
      <c r="K390" s="451"/>
      <c r="L390" s="451"/>
      <c r="M390" s="451"/>
      <c r="N390" s="451"/>
      <c r="O390" s="452"/>
      <c r="P390" s="452"/>
      <c r="Q390" s="452"/>
      <c r="R390" s="452"/>
      <c r="S390" s="452"/>
      <c r="T390" s="452"/>
      <c r="U390" s="452"/>
    </row>
    <row r="391" spans="1:21" x14ac:dyDescent="0.2">
      <c r="A391" s="204">
        <f t="shared" si="5"/>
        <v>368</v>
      </c>
      <c r="B391" s="451"/>
      <c r="C391" s="451"/>
      <c r="D391" s="451"/>
      <c r="E391" s="451"/>
      <c r="F391" s="451"/>
      <c r="G391" s="451"/>
      <c r="H391" s="451"/>
      <c r="I391" s="451"/>
      <c r="J391" s="451"/>
      <c r="K391" s="451"/>
      <c r="L391" s="451"/>
      <c r="M391" s="451"/>
      <c r="N391" s="451"/>
      <c r="O391" s="452"/>
      <c r="P391" s="452"/>
      <c r="Q391" s="452"/>
      <c r="R391" s="452"/>
      <c r="S391" s="452"/>
      <c r="T391" s="452"/>
      <c r="U391" s="452"/>
    </row>
    <row r="392" spans="1:21" x14ac:dyDescent="0.2">
      <c r="A392" s="204">
        <f t="shared" si="5"/>
        <v>369</v>
      </c>
      <c r="B392" s="451"/>
      <c r="C392" s="451"/>
      <c r="D392" s="451"/>
      <c r="E392" s="451"/>
      <c r="F392" s="451"/>
      <c r="G392" s="451"/>
      <c r="H392" s="451"/>
      <c r="I392" s="451"/>
      <c r="J392" s="451"/>
      <c r="K392" s="451"/>
      <c r="L392" s="451"/>
      <c r="M392" s="451"/>
      <c r="N392" s="451"/>
      <c r="O392" s="452"/>
      <c r="P392" s="452"/>
      <c r="Q392" s="452"/>
      <c r="R392" s="452"/>
      <c r="S392" s="452"/>
      <c r="T392" s="452"/>
      <c r="U392" s="452"/>
    </row>
    <row r="393" spans="1:21" x14ac:dyDescent="0.2">
      <c r="A393" s="204">
        <f t="shared" si="5"/>
        <v>370</v>
      </c>
      <c r="B393" s="451"/>
      <c r="C393" s="451"/>
      <c r="D393" s="451"/>
      <c r="E393" s="451"/>
      <c r="F393" s="451"/>
      <c r="G393" s="451"/>
      <c r="H393" s="451"/>
      <c r="I393" s="451"/>
      <c r="J393" s="451"/>
      <c r="K393" s="451"/>
      <c r="L393" s="451"/>
      <c r="M393" s="451"/>
      <c r="N393" s="451"/>
      <c r="O393" s="452"/>
      <c r="P393" s="452"/>
      <c r="Q393" s="452"/>
      <c r="R393" s="452"/>
      <c r="S393" s="452"/>
      <c r="T393" s="452"/>
      <c r="U393" s="452"/>
    </row>
    <row r="394" spans="1:21" x14ac:dyDescent="0.2">
      <c r="A394" s="204">
        <f t="shared" si="5"/>
        <v>371</v>
      </c>
      <c r="B394" s="451"/>
      <c r="C394" s="451"/>
      <c r="D394" s="451"/>
      <c r="E394" s="451"/>
      <c r="F394" s="451"/>
      <c r="G394" s="451"/>
      <c r="H394" s="451"/>
      <c r="I394" s="451"/>
      <c r="J394" s="451"/>
      <c r="K394" s="451"/>
      <c r="L394" s="451"/>
      <c r="M394" s="451"/>
      <c r="N394" s="451"/>
      <c r="O394" s="452"/>
      <c r="P394" s="452"/>
      <c r="Q394" s="452"/>
      <c r="R394" s="452"/>
      <c r="S394" s="452"/>
      <c r="T394" s="452"/>
      <c r="U394" s="452"/>
    </row>
    <row r="395" spans="1:21" x14ac:dyDescent="0.2">
      <c r="A395" s="204">
        <f t="shared" si="5"/>
        <v>372</v>
      </c>
      <c r="B395" s="451"/>
      <c r="C395" s="451"/>
      <c r="D395" s="451"/>
      <c r="E395" s="451"/>
      <c r="F395" s="451"/>
      <c r="G395" s="451"/>
      <c r="H395" s="451"/>
      <c r="I395" s="451"/>
      <c r="J395" s="451"/>
      <c r="K395" s="451"/>
      <c r="L395" s="451"/>
      <c r="M395" s="451"/>
      <c r="N395" s="451"/>
      <c r="O395" s="452"/>
      <c r="P395" s="452"/>
      <c r="Q395" s="452"/>
      <c r="R395" s="452"/>
      <c r="S395" s="452"/>
      <c r="T395" s="452"/>
      <c r="U395" s="452"/>
    </row>
    <row r="396" spans="1:21" x14ac:dyDescent="0.2">
      <c r="A396" s="204">
        <f t="shared" si="5"/>
        <v>373</v>
      </c>
      <c r="B396" s="451"/>
      <c r="C396" s="451"/>
      <c r="D396" s="451"/>
      <c r="E396" s="451"/>
      <c r="F396" s="451"/>
      <c r="G396" s="451"/>
      <c r="H396" s="451"/>
      <c r="I396" s="451"/>
      <c r="J396" s="451"/>
      <c r="K396" s="451"/>
      <c r="L396" s="451"/>
      <c r="M396" s="451"/>
      <c r="N396" s="451"/>
      <c r="O396" s="452"/>
      <c r="P396" s="452"/>
      <c r="Q396" s="452"/>
      <c r="R396" s="452"/>
      <c r="S396" s="452"/>
      <c r="T396" s="452"/>
      <c r="U396" s="452"/>
    </row>
    <row r="397" spans="1:21" x14ac:dyDescent="0.2">
      <c r="A397" s="204">
        <f t="shared" si="5"/>
        <v>374</v>
      </c>
      <c r="B397" s="451"/>
      <c r="C397" s="451"/>
      <c r="D397" s="451"/>
      <c r="E397" s="451"/>
      <c r="F397" s="451"/>
      <c r="G397" s="451"/>
      <c r="H397" s="451"/>
      <c r="I397" s="451"/>
      <c r="J397" s="451"/>
      <c r="K397" s="451"/>
      <c r="L397" s="451"/>
      <c r="M397" s="451"/>
      <c r="N397" s="451"/>
      <c r="O397" s="452"/>
      <c r="P397" s="452"/>
      <c r="Q397" s="452"/>
      <c r="R397" s="452"/>
      <c r="S397" s="452"/>
      <c r="T397" s="452"/>
      <c r="U397" s="452"/>
    </row>
    <row r="398" spans="1:21" x14ac:dyDescent="0.2">
      <c r="A398" s="204">
        <f t="shared" si="5"/>
        <v>375</v>
      </c>
      <c r="B398" s="451"/>
      <c r="C398" s="451"/>
      <c r="D398" s="451"/>
      <c r="E398" s="451"/>
      <c r="F398" s="451"/>
      <c r="G398" s="451"/>
      <c r="H398" s="451"/>
      <c r="I398" s="451"/>
      <c r="J398" s="451"/>
      <c r="K398" s="451"/>
      <c r="L398" s="451"/>
      <c r="M398" s="451"/>
      <c r="N398" s="451"/>
      <c r="O398" s="452"/>
      <c r="P398" s="452"/>
      <c r="Q398" s="452"/>
      <c r="R398" s="452"/>
      <c r="S398" s="452"/>
      <c r="T398" s="452"/>
      <c r="U398" s="452"/>
    </row>
    <row r="399" spans="1:21" x14ac:dyDescent="0.2">
      <c r="A399" s="204">
        <f t="shared" si="5"/>
        <v>376</v>
      </c>
      <c r="B399" s="451"/>
      <c r="C399" s="451"/>
      <c r="D399" s="451"/>
      <c r="E399" s="451"/>
      <c r="F399" s="451"/>
      <c r="G399" s="451"/>
      <c r="H399" s="451"/>
      <c r="I399" s="451"/>
      <c r="J399" s="451"/>
      <c r="K399" s="451"/>
      <c r="L399" s="451"/>
      <c r="M399" s="451"/>
      <c r="N399" s="451"/>
      <c r="O399" s="452"/>
      <c r="P399" s="452"/>
      <c r="Q399" s="452"/>
      <c r="R399" s="452"/>
      <c r="S399" s="452"/>
      <c r="T399" s="452"/>
      <c r="U399" s="452"/>
    </row>
    <row r="400" spans="1:21" x14ac:dyDescent="0.2">
      <c r="A400" s="204">
        <f t="shared" si="5"/>
        <v>377</v>
      </c>
      <c r="B400" s="451"/>
      <c r="C400" s="451"/>
      <c r="D400" s="451"/>
      <c r="E400" s="451"/>
      <c r="F400" s="451"/>
      <c r="G400" s="451"/>
      <c r="H400" s="451"/>
      <c r="I400" s="451"/>
      <c r="J400" s="451"/>
      <c r="K400" s="451"/>
      <c r="L400" s="451"/>
      <c r="M400" s="451"/>
      <c r="N400" s="451"/>
      <c r="O400" s="452"/>
      <c r="P400" s="452"/>
      <c r="Q400" s="452"/>
      <c r="R400" s="452"/>
      <c r="S400" s="452"/>
      <c r="T400" s="452"/>
      <c r="U400" s="452"/>
    </row>
    <row r="401" spans="1:21" x14ac:dyDescent="0.2">
      <c r="A401" s="204">
        <f t="shared" si="5"/>
        <v>378</v>
      </c>
      <c r="B401" s="451"/>
      <c r="C401" s="451"/>
      <c r="D401" s="451"/>
      <c r="E401" s="451"/>
      <c r="F401" s="451"/>
      <c r="G401" s="451"/>
      <c r="H401" s="451"/>
      <c r="I401" s="451"/>
      <c r="J401" s="451"/>
      <c r="K401" s="451"/>
      <c r="L401" s="451"/>
      <c r="M401" s="451"/>
      <c r="N401" s="451"/>
      <c r="O401" s="452"/>
      <c r="P401" s="452"/>
      <c r="Q401" s="452"/>
      <c r="R401" s="452"/>
      <c r="S401" s="452"/>
      <c r="T401" s="452"/>
      <c r="U401" s="452"/>
    </row>
    <row r="402" spans="1:21" x14ac:dyDescent="0.2">
      <c r="A402" s="204">
        <f t="shared" si="5"/>
        <v>379</v>
      </c>
      <c r="B402" s="451"/>
      <c r="C402" s="451"/>
      <c r="D402" s="451"/>
      <c r="E402" s="451"/>
      <c r="F402" s="451"/>
      <c r="G402" s="451"/>
      <c r="H402" s="451"/>
      <c r="I402" s="451"/>
      <c r="J402" s="451"/>
      <c r="K402" s="451"/>
      <c r="L402" s="451"/>
      <c r="M402" s="451"/>
      <c r="N402" s="451"/>
      <c r="O402" s="452"/>
      <c r="P402" s="452"/>
      <c r="Q402" s="452"/>
      <c r="R402" s="452"/>
      <c r="S402" s="452"/>
      <c r="T402" s="452"/>
      <c r="U402" s="452"/>
    </row>
    <row r="403" spans="1:21" x14ac:dyDescent="0.2">
      <c r="A403" s="204">
        <f t="shared" si="5"/>
        <v>380</v>
      </c>
      <c r="B403" s="451"/>
      <c r="C403" s="451"/>
      <c r="D403" s="451"/>
      <c r="E403" s="451"/>
      <c r="F403" s="451"/>
      <c r="G403" s="451"/>
      <c r="H403" s="451"/>
      <c r="I403" s="451"/>
      <c r="J403" s="451"/>
      <c r="K403" s="451"/>
      <c r="L403" s="451"/>
      <c r="M403" s="451"/>
      <c r="N403" s="451"/>
      <c r="O403" s="452"/>
      <c r="P403" s="452"/>
      <c r="Q403" s="452"/>
      <c r="R403" s="452"/>
      <c r="S403" s="452"/>
      <c r="T403" s="452"/>
      <c r="U403" s="452"/>
    </row>
    <row r="404" spans="1:21" x14ac:dyDescent="0.2">
      <c r="A404" s="204">
        <f t="shared" si="5"/>
        <v>381</v>
      </c>
      <c r="B404" s="451"/>
      <c r="C404" s="451"/>
      <c r="D404" s="451"/>
      <c r="E404" s="451"/>
      <c r="F404" s="451"/>
      <c r="G404" s="451"/>
      <c r="H404" s="451"/>
      <c r="I404" s="451"/>
      <c r="J404" s="451"/>
      <c r="K404" s="451"/>
      <c r="L404" s="451"/>
      <c r="M404" s="451"/>
      <c r="N404" s="451"/>
      <c r="O404" s="452"/>
      <c r="P404" s="452"/>
      <c r="Q404" s="452"/>
      <c r="R404" s="452"/>
      <c r="S404" s="452"/>
      <c r="T404" s="452"/>
      <c r="U404" s="452"/>
    </row>
    <row r="405" spans="1:21" x14ac:dyDescent="0.2">
      <c r="A405" s="204">
        <f t="shared" si="5"/>
        <v>382</v>
      </c>
      <c r="B405" s="451"/>
      <c r="C405" s="451"/>
      <c r="D405" s="451"/>
      <c r="E405" s="451"/>
      <c r="F405" s="451"/>
      <c r="G405" s="451"/>
      <c r="H405" s="451"/>
      <c r="I405" s="451"/>
      <c r="J405" s="451"/>
      <c r="K405" s="451"/>
      <c r="L405" s="451"/>
      <c r="M405" s="451"/>
      <c r="N405" s="451"/>
      <c r="O405" s="452"/>
      <c r="P405" s="452"/>
      <c r="Q405" s="452"/>
      <c r="R405" s="452"/>
      <c r="S405" s="452"/>
      <c r="T405" s="452"/>
      <c r="U405" s="452"/>
    </row>
    <row r="406" spans="1:21" x14ac:dyDescent="0.2">
      <c r="A406" s="204">
        <f t="shared" si="5"/>
        <v>383</v>
      </c>
      <c r="B406" s="451"/>
      <c r="C406" s="451"/>
      <c r="D406" s="451"/>
      <c r="E406" s="451"/>
      <c r="F406" s="451"/>
      <c r="G406" s="451"/>
      <c r="H406" s="451"/>
      <c r="I406" s="451"/>
      <c r="J406" s="451"/>
      <c r="K406" s="451"/>
      <c r="L406" s="451"/>
      <c r="M406" s="451"/>
      <c r="N406" s="451"/>
      <c r="O406" s="452"/>
      <c r="P406" s="452"/>
      <c r="Q406" s="452"/>
      <c r="R406" s="452"/>
      <c r="S406" s="452"/>
      <c r="T406" s="452"/>
      <c r="U406" s="452"/>
    </row>
    <row r="407" spans="1:21" x14ac:dyDescent="0.2">
      <c r="A407" s="204">
        <f t="shared" si="5"/>
        <v>384</v>
      </c>
      <c r="B407" s="454"/>
      <c r="C407" s="454"/>
      <c r="D407" s="454"/>
      <c r="E407" s="454"/>
      <c r="F407" s="454"/>
      <c r="G407" s="454"/>
      <c r="H407" s="454"/>
      <c r="I407" s="454"/>
      <c r="J407" s="454"/>
      <c r="K407" s="454"/>
      <c r="L407" s="454"/>
      <c r="M407" s="454"/>
      <c r="N407" s="454"/>
      <c r="O407" s="453"/>
      <c r="P407" s="453"/>
      <c r="Q407" s="453"/>
      <c r="R407" s="453"/>
      <c r="S407" s="453"/>
      <c r="T407" s="453"/>
      <c r="U407" s="453"/>
    </row>
    <row r="408" spans="1:21" x14ac:dyDescent="0.2">
      <c r="A408" s="204">
        <f t="shared" si="5"/>
        <v>385</v>
      </c>
      <c r="B408" s="454"/>
      <c r="C408" s="454"/>
      <c r="D408" s="454"/>
      <c r="E408" s="454"/>
      <c r="F408" s="454"/>
      <c r="G408" s="454"/>
      <c r="H408" s="454"/>
      <c r="I408" s="454"/>
      <c r="J408" s="454"/>
      <c r="K408" s="454"/>
      <c r="L408" s="454"/>
      <c r="M408" s="454"/>
      <c r="N408" s="454"/>
      <c r="O408" s="453"/>
      <c r="P408" s="453"/>
      <c r="Q408" s="453"/>
      <c r="R408" s="453"/>
      <c r="S408" s="453"/>
      <c r="T408" s="453"/>
      <c r="U408" s="453"/>
    </row>
    <row r="409" spans="1:21" x14ac:dyDescent="0.2">
      <c r="A409" s="204">
        <f t="shared" ref="A409:A423" si="6">A408+1</f>
        <v>386</v>
      </c>
      <c r="B409" s="454"/>
      <c r="C409" s="454"/>
      <c r="D409" s="454"/>
      <c r="E409" s="454"/>
      <c r="F409" s="454"/>
      <c r="G409" s="454"/>
      <c r="H409" s="454"/>
      <c r="I409" s="454"/>
      <c r="J409" s="454"/>
      <c r="K409" s="454"/>
      <c r="L409" s="454"/>
      <c r="M409" s="454"/>
      <c r="N409" s="454"/>
      <c r="O409" s="453"/>
      <c r="P409" s="453"/>
      <c r="Q409" s="453"/>
      <c r="R409" s="453"/>
      <c r="S409" s="453"/>
      <c r="T409" s="453"/>
      <c r="U409" s="453"/>
    </row>
    <row r="410" spans="1:21" x14ac:dyDescent="0.2">
      <c r="A410" s="204">
        <f t="shared" si="6"/>
        <v>387</v>
      </c>
      <c r="B410" s="454"/>
      <c r="C410" s="454"/>
      <c r="D410" s="454"/>
      <c r="E410" s="454"/>
      <c r="F410" s="454"/>
      <c r="G410" s="454"/>
      <c r="H410" s="454"/>
      <c r="I410" s="454"/>
      <c r="J410" s="454"/>
      <c r="K410" s="454"/>
      <c r="L410" s="454"/>
      <c r="M410" s="454"/>
      <c r="N410" s="454"/>
      <c r="O410" s="453"/>
      <c r="P410" s="453"/>
      <c r="Q410" s="453"/>
      <c r="R410" s="453"/>
      <c r="S410" s="453"/>
      <c r="T410" s="453"/>
      <c r="U410" s="453"/>
    </row>
    <row r="411" spans="1:21" x14ac:dyDescent="0.2">
      <c r="A411" s="204">
        <f t="shared" si="6"/>
        <v>388</v>
      </c>
      <c r="B411" s="454"/>
      <c r="C411" s="454"/>
      <c r="D411" s="454"/>
      <c r="E411" s="454"/>
      <c r="F411" s="454"/>
      <c r="G411" s="454"/>
      <c r="H411" s="454"/>
      <c r="I411" s="454"/>
      <c r="J411" s="454"/>
      <c r="K411" s="454"/>
      <c r="L411" s="454"/>
      <c r="M411" s="454"/>
      <c r="N411" s="454"/>
      <c r="O411" s="453"/>
      <c r="P411" s="453"/>
      <c r="Q411" s="453"/>
      <c r="R411" s="453"/>
      <c r="S411" s="453"/>
      <c r="T411" s="453"/>
      <c r="U411" s="453"/>
    </row>
    <row r="412" spans="1:21" x14ac:dyDescent="0.2">
      <c r="A412" s="204">
        <f t="shared" si="6"/>
        <v>389</v>
      </c>
      <c r="B412" s="454"/>
      <c r="C412" s="454"/>
      <c r="D412" s="454"/>
      <c r="E412" s="454"/>
      <c r="F412" s="454"/>
      <c r="G412" s="454"/>
      <c r="H412" s="454"/>
      <c r="I412" s="454"/>
      <c r="J412" s="454"/>
      <c r="K412" s="454"/>
      <c r="L412" s="454"/>
      <c r="M412" s="454"/>
      <c r="N412" s="454"/>
      <c r="O412" s="453"/>
      <c r="P412" s="453"/>
      <c r="Q412" s="453"/>
      <c r="R412" s="453"/>
      <c r="S412" s="453"/>
      <c r="T412" s="453"/>
      <c r="U412" s="453"/>
    </row>
    <row r="413" spans="1:21" x14ac:dyDescent="0.2">
      <c r="A413" s="204">
        <f t="shared" si="6"/>
        <v>390</v>
      </c>
      <c r="B413" s="454"/>
      <c r="C413" s="454"/>
      <c r="D413" s="454"/>
      <c r="E413" s="454"/>
      <c r="F413" s="454"/>
      <c r="G413" s="454"/>
      <c r="H413" s="454"/>
      <c r="I413" s="454"/>
      <c r="J413" s="454"/>
      <c r="K413" s="454"/>
      <c r="L413" s="454"/>
      <c r="M413" s="454"/>
      <c r="N413" s="454"/>
      <c r="O413" s="453"/>
      <c r="P413" s="453"/>
      <c r="Q413" s="453"/>
      <c r="R413" s="453"/>
      <c r="S413" s="453"/>
      <c r="T413" s="453"/>
      <c r="U413" s="453"/>
    </row>
    <row r="414" spans="1:21" x14ac:dyDescent="0.2">
      <c r="A414" s="204">
        <f t="shared" si="6"/>
        <v>391</v>
      </c>
      <c r="B414" s="454"/>
      <c r="C414" s="454"/>
      <c r="D414" s="454"/>
      <c r="E414" s="454"/>
      <c r="F414" s="454"/>
      <c r="G414" s="454"/>
      <c r="H414" s="454"/>
      <c r="I414" s="454"/>
      <c r="J414" s="454"/>
      <c r="K414" s="454"/>
      <c r="L414" s="454"/>
      <c r="M414" s="454"/>
      <c r="N414" s="454"/>
      <c r="O414" s="453"/>
      <c r="P414" s="453"/>
      <c r="Q414" s="453"/>
      <c r="R414" s="453"/>
      <c r="S414" s="453"/>
      <c r="T414" s="453"/>
      <c r="U414" s="453"/>
    </row>
    <row r="415" spans="1:21" x14ac:dyDescent="0.2">
      <c r="A415" s="204">
        <f t="shared" si="6"/>
        <v>392</v>
      </c>
      <c r="B415" s="454"/>
      <c r="C415" s="454"/>
      <c r="D415" s="454"/>
      <c r="E415" s="454"/>
      <c r="F415" s="454"/>
      <c r="G415" s="454"/>
      <c r="H415" s="454"/>
      <c r="I415" s="454"/>
      <c r="J415" s="454"/>
      <c r="K415" s="454"/>
      <c r="L415" s="454"/>
      <c r="M415" s="454"/>
      <c r="N415" s="454"/>
      <c r="O415" s="453"/>
      <c r="P415" s="453"/>
      <c r="Q415" s="453"/>
      <c r="R415" s="453"/>
      <c r="S415" s="453"/>
      <c r="T415" s="453"/>
      <c r="U415" s="453"/>
    </row>
    <row r="416" spans="1:21" x14ac:dyDescent="0.2">
      <c r="A416" s="204">
        <f t="shared" si="6"/>
        <v>393</v>
      </c>
      <c r="B416" s="454"/>
      <c r="C416" s="454"/>
      <c r="D416" s="454"/>
      <c r="E416" s="454"/>
      <c r="F416" s="454"/>
      <c r="G416" s="454"/>
      <c r="H416" s="454"/>
      <c r="I416" s="454"/>
      <c r="J416" s="454"/>
      <c r="K416" s="454"/>
      <c r="L416" s="454"/>
      <c r="M416" s="454"/>
      <c r="N416" s="454"/>
      <c r="O416" s="453"/>
      <c r="P416" s="453"/>
      <c r="Q416" s="453"/>
      <c r="R416" s="453"/>
      <c r="S416" s="453"/>
      <c r="T416" s="453"/>
      <c r="U416" s="453"/>
    </row>
    <row r="417" spans="1:21" x14ac:dyDescent="0.2">
      <c r="A417" s="204">
        <f t="shared" si="6"/>
        <v>394</v>
      </c>
      <c r="B417" s="454"/>
      <c r="C417" s="454"/>
      <c r="D417" s="454"/>
      <c r="E417" s="454"/>
      <c r="F417" s="454"/>
      <c r="G417" s="454"/>
      <c r="H417" s="454"/>
      <c r="I417" s="454"/>
      <c r="J417" s="454"/>
      <c r="K417" s="454"/>
      <c r="L417" s="454"/>
      <c r="M417" s="454"/>
      <c r="N417" s="454"/>
      <c r="O417" s="453"/>
      <c r="P417" s="453"/>
      <c r="Q417" s="453"/>
      <c r="R417" s="453"/>
      <c r="S417" s="453"/>
      <c r="T417" s="453"/>
      <c r="U417" s="453"/>
    </row>
    <row r="418" spans="1:21" x14ac:dyDescent="0.2">
      <c r="A418" s="204">
        <f t="shared" si="6"/>
        <v>395</v>
      </c>
      <c r="B418" s="454"/>
      <c r="C418" s="454"/>
      <c r="D418" s="454"/>
      <c r="E418" s="454"/>
      <c r="F418" s="454"/>
      <c r="G418" s="454"/>
      <c r="H418" s="454"/>
      <c r="I418" s="454"/>
      <c r="J418" s="454"/>
      <c r="K418" s="454"/>
      <c r="L418" s="454"/>
      <c r="M418" s="454"/>
      <c r="N418" s="454"/>
      <c r="O418" s="453"/>
      <c r="P418" s="453"/>
      <c r="Q418" s="453"/>
      <c r="R418" s="453"/>
      <c r="S418" s="453"/>
      <c r="T418" s="453"/>
      <c r="U418" s="453"/>
    </row>
    <row r="419" spans="1:21" x14ac:dyDescent="0.2">
      <c r="A419" s="204">
        <f t="shared" si="6"/>
        <v>396</v>
      </c>
      <c r="B419" s="454"/>
      <c r="C419" s="454"/>
      <c r="D419" s="454"/>
      <c r="E419" s="454"/>
      <c r="F419" s="454"/>
      <c r="G419" s="454"/>
      <c r="H419" s="454"/>
      <c r="I419" s="454"/>
      <c r="J419" s="454"/>
      <c r="K419" s="454"/>
      <c r="L419" s="454"/>
      <c r="M419" s="454"/>
      <c r="N419" s="454"/>
      <c r="O419" s="453"/>
      <c r="P419" s="453"/>
      <c r="Q419" s="453"/>
      <c r="R419" s="453"/>
      <c r="S419" s="453"/>
      <c r="T419" s="453"/>
      <c r="U419" s="453"/>
    </row>
    <row r="420" spans="1:21" x14ac:dyDescent="0.2">
      <c r="A420" s="204">
        <f t="shared" si="6"/>
        <v>397</v>
      </c>
      <c r="B420" s="454"/>
      <c r="C420" s="454"/>
      <c r="D420" s="454"/>
      <c r="E420" s="454"/>
      <c r="F420" s="454"/>
      <c r="G420" s="454"/>
      <c r="H420" s="454"/>
      <c r="I420" s="454"/>
      <c r="J420" s="454"/>
      <c r="K420" s="454"/>
      <c r="L420" s="454"/>
      <c r="M420" s="454"/>
      <c r="N420" s="454"/>
      <c r="O420" s="453"/>
      <c r="P420" s="453"/>
      <c r="Q420" s="453"/>
      <c r="R420" s="453"/>
      <c r="S420" s="453"/>
      <c r="T420" s="453"/>
      <c r="U420" s="453"/>
    </row>
    <row r="421" spans="1:21" x14ac:dyDescent="0.2">
      <c r="A421" s="204">
        <f t="shared" si="6"/>
        <v>398</v>
      </c>
      <c r="B421" s="454"/>
      <c r="C421" s="454"/>
      <c r="D421" s="454"/>
      <c r="E421" s="454"/>
      <c r="F421" s="454"/>
      <c r="G421" s="454"/>
      <c r="H421" s="454"/>
      <c r="I421" s="454"/>
      <c r="J421" s="454"/>
      <c r="K421" s="454"/>
      <c r="L421" s="454"/>
      <c r="M421" s="454"/>
      <c r="N421" s="454"/>
      <c r="O421" s="453"/>
      <c r="P421" s="453"/>
      <c r="Q421" s="453"/>
      <c r="R421" s="453"/>
      <c r="S421" s="453"/>
      <c r="T421" s="453"/>
      <c r="U421" s="453"/>
    </row>
    <row r="422" spans="1:21" x14ac:dyDescent="0.2">
      <c r="A422" s="204">
        <f t="shared" si="6"/>
        <v>399</v>
      </c>
      <c r="B422" s="454"/>
      <c r="C422" s="454"/>
      <c r="D422" s="454"/>
      <c r="E422" s="454"/>
      <c r="F422" s="454"/>
      <c r="G422" s="454"/>
      <c r="H422" s="454"/>
      <c r="I422" s="454"/>
      <c r="J422" s="454"/>
      <c r="K422" s="454"/>
      <c r="L422" s="454"/>
      <c r="M422" s="454"/>
      <c r="N422" s="454"/>
      <c r="O422" s="453"/>
      <c r="P422" s="453"/>
      <c r="Q422" s="453"/>
      <c r="R422" s="453"/>
      <c r="S422" s="453"/>
      <c r="T422" s="453"/>
      <c r="U422" s="453"/>
    </row>
    <row r="423" spans="1:21" x14ac:dyDescent="0.2">
      <c r="A423" s="289">
        <f t="shared" si="6"/>
        <v>400</v>
      </c>
      <c r="B423" s="455"/>
      <c r="C423" s="455"/>
      <c r="D423" s="455"/>
      <c r="E423" s="455"/>
      <c r="F423" s="455"/>
      <c r="G423" s="455"/>
      <c r="H423" s="455"/>
      <c r="I423" s="455"/>
      <c r="J423" s="455"/>
      <c r="K423" s="455"/>
      <c r="L423" s="455"/>
      <c r="M423" s="455"/>
      <c r="N423" s="455"/>
      <c r="O423" s="456"/>
      <c r="P423" s="456"/>
      <c r="Q423" s="456"/>
      <c r="R423" s="456"/>
      <c r="S423" s="456"/>
      <c r="T423" s="456"/>
      <c r="U423" s="456"/>
    </row>
    <row r="424" spans="1:21" x14ac:dyDescent="0.2">
      <c r="A424" s="290"/>
      <c r="B424" s="454"/>
      <c r="C424" s="454"/>
      <c r="D424" s="454"/>
      <c r="E424" s="454"/>
      <c r="F424" s="454"/>
      <c r="G424" s="454"/>
      <c r="H424" s="454"/>
      <c r="I424" s="454"/>
      <c r="J424" s="454"/>
      <c r="K424" s="454"/>
      <c r="L424" s="454"/>
      <c r="M424" s="454"/>
      <c r="N424" s="454"/>
      <c r="O424" s="453"/>
      <c r="P424" s="453"/>
      <c r="Q424" s="453"/>
      <c r="R424" s="453"/>
      <c r="S424" s="453"/>
      <c r="T424" s="453"/>
      <c r="U424" s="453"/>
    </row>
    <row r="425" spans="1:21" x14ac:dyDescent="0.2">
      <c r="A425" s="290"/>
      <c r="B425" s="454"/>
      <c r="C425" s="454"/>
      <c r="D425" s="454"/>
      <c r="E425" s="454"/>
      <c r="F425" s="454"/>
      <c r="G425" s="454"/>
      <c r="H425" s="454"/>
      <c r="I425" s="454"/>
      <c r="J425" s="454"/>
      <c r="K425" s="454"/>
      <c r="L425" s="454"/>
      <c r="M425" s="454"/>
      <c r="N425" s="454"/>
      <c r="O425" s="453"/>
      <c r="P425" s="453"/>
      <c r="Q425" s="453"/>
      <c r="R425" s="453"/>
      <c r="S425" s="453"/>
      <c r="T425" s="453"/>
      <c r="U425" s="453"/>
    </row>
    <row r="426" spans="1:21" x14ac:dyDescent="0.2">
      <c r="A426" s="290"/>
      <c r="B426" s="454"/>
      <c r="C426" s="454"/>
      <c r="D426" s="454"/>
      <c r="E426" s="454"/>
      <c r="F426" s="454"/>
      <c r="G426" s="454"/>
      <c r="H426" s="454"/>
      <c r="I426" s="454"/>
      <c r="J426" s="454"/>
      <c r="K426" s="454"/>
      <c r="L426" s="454"/>
      <c r="M426" s="454"/>
      <c r="N426" s="454"/>
      <c r="O426" s="453"/>
      <c r="P426" s="453"/>
      <c r="Q426" s="453"/>
      <c r="R426" s="453"/>
      <c r="S426" s="453"/>
      <c r="T426" s="453"/>
      <c r="U426" s="453"/>
    </row>
    <row r="427" spans="1:21" x14ac:dyDescent="0.2">
      <c r="A427" s="290"/>
      <c r="B427" s="454"/>
      <c r="C427" s="454"/>
      <c r="D427" s="454"/>
      <c r="E427" s="454"/>
      <c r="F427" s="454"/>
      <c r="G427" s="454"/>
      <c r="H427" s="454"/>
      <c r="I427" s="454"/>
      <c r="J427" s="454"/>
      <c r="K427" s="454"/>
      <c r="L427" s="454"/>
      <c r="M427" s="454"/>
      <c r="N427" s="454"/>
      <c r="O427" s="453"/>
      <c r="P427" s="453"/>
      <c r="Q427" s="453"/>
      <c r="R427" s="453"/>
      <c r="S427" s="453"/>
      <c r="T427" s="453"/>
      <c r="U427" s="453"/>
    </row>
    <row r="428" spans="1:21" x14ac:dyDescent="0.2">
      <c r="A428" s="290"/>
      <c r="B428" s="454"/>
      <c r="C428" s="454"/>
      <c r="D428" s="454"/>
      <c r="E428" s="454"/>
      <c r="F428" s="454"/>
      <c r="G428" s="454"/>
      <c r="H428" s="454"/>
      <c r="I428" s="454"/>
      <c r="J428" s="454"/>
      <c r="K428" s="454"/>
      <c r="L428" s="454"/>
      <c r="M428" s="454"/>
      <c r="N428" s="454"/>
      <c r="O428" s="453"/>
      <c r="P428" s="453"/>
      <c r="Q428" s="453"/>
      <c r="R428" s="453"/>
      <c r="S428" s="453"/>
      <c r="T428" s="453"/>
      <c r="U428" s="453"/>
    </row>
    <row r="429" spans="1:21" x14ac:dyDescent="0.2">
      <c r="A429" s="290"/>
      <c r="B429" s="454"/>
      <c r="C429" s="454"/>
      <c r="D429" s="454"/>
      <c r="E429" s="454"/>
      <c r="F429" s="454"/>
      <c r="G429" s="454"/>
      <c r="H429" s="454"/>
      <c r="I429" s="454"/>
      <c r="J429" s="454"/>
      <c r="K429" s="454"/>
      <c r="L429" s="454"/>
      <c r="M429" s="454"/>
      <c r="N429" s="454"/>
      <c r="O429" s="453"/>
      <c r="P429" s="453"/>
      <c r="Q429" s="453"/>
      <c r="R429" s="453"/>
      <c r="S429" s="453"/>
      <c r="T429" s="453"/>
      <c r="U429" s="453"/>
    </row>
    <row r="430" spans="1:21" x14ac:dyDescent="0.2">
      <c r="A430" s="290"/>
      <c r="B430" s="454"/>
      <c r="C430" s="454"/>
      <c r="D430" s="454"/>
      <c r="E430" s="454"/>
      <c r="F430" s="454"/>
      <c r="G430" s="454"/>
      <c r="H430" s="454"/>
      <c r="I430" s="454"/>
      <c r="J430" s="454"/>
      <c r="K430" s="454"/>
      <c r="L430" s="454"/>
      <c r="M430" s="454"/>
      <c r="N430" s="454"/>
      <c r="O430" s="453"/>
      <c r="P430" s="453"/>
      <c r="Q430" s="453"/>
      <c r="R430" s="453"/>
      <c r="S430" s="453"/>
      <c r="T430" s="453"/>
      <c r="U430" s="453"/>
    </row>
    <row r="431" spans="1:21" x14ac:dyDescent="0.2">
      <c r="A431" s="290"/>
      <c r="B431" s="454"/>
      <c r="C431" s="454"/>
      <c r="D431" s="454"/>
      <c r="E431" s="454"/>
      <c r="F431" s="454"/>
      <c r="G431" s="454"/>
      <c r="H431" s="454"/>
      <c r="I431" s="454"/>
      <c r="J431" s="454"/>
      <c r="K431" s="454"/>
      <c r="L431" s="454"/>
      <c r="M431" s="454"/>
      <c r="N431" s="454"/>
      <c r="O431" s="453"/>
      <c r="P431" s="453"/>
      <c r="Q431" s="453"/>
      <c r="R431" s="453"/>
      <c r="S431" s="453"/>
      <c r="T431" s="453"/>
      <c r="U431" s="453"/>
    </row>
    <row r="432" spans="1:21" x14ac:dyDescent="0.2">
      <c r="A432" s="290"/>
      <c r="B432" s="454"/>
      <c r="C432" s="454"/>
      <c r="D432" s="454"/>
      <c r="E432" s="454"/>
      <c r="F432" s="454"/>
      <c r="G432" s="454"/>
      <c r="H432" s="454"/>
      <c r="I432" s="454"/>
      <c r="J432" s="454"/>
      <c r="K432" s="454"/>
      <c r="L432" s="454"/>
      <c r="M432" s="454"/>
      <c r="N432" s="454"/>
      <c r="O432" s="453"/>
      <c r="P432" s="453"/>
      <c r="Q432" s="453"/>
      <c r="R432" s="453"/>
      <c r="S432" s="453"/>
      <c r="T432" s="453"/>
      <c r="U432" s="453"/>
    </row>
    <row r="433" spans="1:21" x14ac:dyDescent="0.2">
      <c r="A433" s="290"/>
      <c r="B433" s="454"/>
      <c r="C433" s="454"/>
      <c r="D433" s="454"/>
      <c r="E433" s="454"/>
      <c r="F433" s="454"/>
      <c r="G433" s="454"/>
      <c r="H433" s="454"/>
      <c r="I433" s="454"/>
      <c r="J433" s="454"/>
      <c r="K433" s="454"/>
      <c r="L433" s="454"/>
      <c r="M433" s="454"/>
      <c r="N433" s="454"/>
      <c r="O433" s="453"/>
      <c r="P433" s="453"/>
      <c r="Q433" s="453"/>
      <c r="R433" s="453"/>
      <c r="S433" s="453"/>
      <c r="T433" s="453"/>
      <c r="U433" s="453"/>
    </row>
    <row r="434" spans="1:21" x14ac:dyDescent="0.2">
      <c r="A434" s="290"/>
      <c r="B434" s="454"/>
      <c r="C434" s="454"/>
      <c r="D434" s="454"/>
      <c r="E434" s="454"/>
      <c r="F434" s="454"/>
      <c r="G434" s="454"/>
      <c r="H434" s="454"/>
      <c r="I434" s="454"/>
      <c r="J434" s="454"/>
      <c r="K434" s="454"/>
      <c r="L434" s="454"/>
      <c r="M434" s="454"/>
      <c r="N434" s="454"/>
      <c r="O434" s="453"/>
      <c r="P434" s="453"/>
      <c r="Q434" s="453"/>
      <c r="R434" s="453"/>
      <c r="S434" s="453"/>
      <c r="T434" s="453"/>
      <c r="U434" s="453"/>
    </row>
    <row r="435" spans="1:21" x14ac:dyDescent="0.2">
      <c r="A435" s="290"/>
      <c r="B435" s="454"/>
      <c r="C435" s="454"/>
      <c r="D435" s="454"/>
      <c r="E435" s="454"/>
      <c r="F435" s="454"/>
      <c r="G435" s="454"/>
      <c r="H435" s="454"/>
      <c r="I435" s="454"/>
      <c r="J435" s="454"/>
      <c r="K435" s="454"/>
      <c r="L435" s="454"/>
      <c r="M435" s="454"/>
      <c r="N435" s="454"/>
      <c r="O435" s="453"/>
      <c r="P435" s="453"/>
      <c r="Q435" s="453"/>
      <c r="R435" s="453"/>
      <c r="S435" s="453"/>
      <c r="T435" s="453"/>
      <c r="U435" s="453"/>
    </row>
    <row r="436" spans="1:21" x14ac:dyDescent="0.2">
      <c r="A436" s="290"/>
      <c r="B436" s="454"/>
      <c r="C436" s="454"/>
      <c r="D436" s="454"/>
      <c r="E436" s="454"/>
      <c r="F436" s="454"/>
      <c r="G436" s="454"/>
      <c r="H436" s="454"/>
      <c r="I436" s="454"/>
      <c r="J436" s="454"/>
      <c r="K436" s="454"/>
      <c r="L436" s="454"/>
      <c r="M436" s="454"/>
      <c r="N436" s="454"/>
      <c r="O436" s="453"/>
      <c r="P436" s="453"/>
      <c r="Q436" s="453"/>
      <c r="R436" s="453"/>
      <c r="S436" s="453"/>
      <c r="T436" s="453"/>
      <c r="U436" s="453"/>
    </row>
    <row r="437" spans="1:21" x14ac:dyDescent="0.2">
      <c r="A437" s="290"/>
      <c r="B437" s="454"/>
      <c r="C437" s="454"/>
      <c r="D437" s="454"/>
      <c r="E437" s="454"/>
      <c r="F437" s="454"/>
      <c r="G437" s="454"/>
      <c r="H437" s="454"/>
      <c r="I437" s="454"/>
      <c r="J437" s="454"/>
      <c r="K437" s="454"/>
      <c r="L437" s="454"/>
      <c r="M437" s="454"/>
      <c r="N437" s="454"/>
      <c r="O437" s="453"/>
      <c r="P437" s="453"/>
      <c r="Q437" s="453"/>
      <c r="R437" s="453"/>
      <c r="S437" s="453"/>
      <c r="T437" s="453"/>
      <c r="U437" s="453"/>
    </row>
    <row r="438" spans="1:21" x14ac:dyDescent="0.2">
      <c r="A438" s="290"/>
      <c r="B438" s="454"/>
      <c r="C438" s="454"/>
      <c r="D438" s="454"/>
      <c r="E438" s="454"/>
      <c r="F438" s="454"/>
      <c r="G438" s="454"/>
      <c r="H438" s="454"/>
      <c r="I438" s="454"/>
      <c r="J438" s="454"/>
      <c r="K438" s="454"/>
      <c r="L438" s="454"/>
      <c r="M438" s="454"/>
      <c r="N438" s="454"/>
      <c r="O438" s="453"/>
      <c r="P438" s="453"/>
      <c r="Q438" s="453"/>
      <c r="R438" s="453"/>
      <c r="S438" s="453"/>
      <c r="T438" s="453"/>
      <c r="U438" s="453"/>
    </row>
    <row r="439" spans="1:21" x14ac:dyDescent="0.2">
      <c r="A439" s="290"/>
      <c r="B439" s="454"/>
      <c r="C439" s="454"/>
      <c r="D439" s="454"/>
      <c r="E439" s="454"/>
      <c r="F439" s="454"/>
      <c r="G439" s="454"/>
      <c r="H439" s="454"/>
      <c r="I439" s="454"/>
      <c r="J439" s="454"/>
      <c r="K439" s="454"/>
      <c r="L439" s="454"/>
      <c r="M439" s="454"/>
      <c r="N439" s="454"/>
      <c r="O439" s="453"/>
      <c r="P439" s="453"/>
      <c r="Q439" s="453"/>
      <c r="R439" s="453"/>
      <c r="S439" s="453"/>
      <c r="T439" s="453"/>
      <c r="U439" s="453"/>
    </row>
    <row r="440" spans="1:21" x14ac:dyDescent="0.2">
      <c r="A440" s="290"/>
      <c r="B440" s="454"/>
      <c r="C440" s="454"/>
      <c r="D440" s="454"/>
      <c r="E440" s="454"/>
      <c r="F440" s="454"/>
      <c r="G440" s="454"/>
      <c r="H440" s="454"/>
      <c r="I440" s="454"/>
      <c r="J440" s="454"/>
      <c r="K440" s="454"/>
      <c r="L440" s="454"/>
      <c r="M440" s="454"/>
      <c r="N440" s="454"/>
      <c r="O440" s="453"/>
      <c r="P440" s="453"/>
      <c r="Q440" s="453"/>
      <c r="R440" s="453"/>
      <c r="S440" s="453"/>
      <c r="T440" s="453"/>
      <c r="U440" s="453"/>
    </row>
    <row r="441" spans="1:21" x14ac:dyDescent="0.2">
      <c r="A441" s="290"/>
      <c r="B441" s="454"/>
      <c r="C441" s="454"/>
      <c r="D441" s="454"/>
      <c r="E441" s="454"/>
      <c r="F441" s="454"/>
      <c r="G441" s="454"/>
      <c r="H441" s="454"/>
      <c r="I441" s="454"/>
      <c r="J441" s="454"/>
      <c r="K441" s="454"/>
      <c r="L441" s="454"/>
      <c r="M441" s="454"/>
      <c r="N441" s="454"/>
      <c r="O441" s="453"/>
      <c r="P441" s="453"/>
      <c r="Q441" s="453"/>
      <c r="R441" s="453"/>
      <c r="S441" s="453"/>
      <c r="T441" s="453"/>
      <c r="U441" s="453"/>
    </row>
    <row r="442" spans="1:21" x14ac:dyDescent="0.2">
      <c r="A442" s="290"/>
      <c r="B442" s="454"/>
      <c r="C442" s="454"/>
      <c r="D442" s="454"/>
      <c r="E442" s="454"/>
      <c r="F442" s="454"/>
      <c r="G442" s="454"/>
      <c r="H442" s="454"/>
      <c r="I442" s="454"/>
      <c r="J442" s="454"/>
      <c r="K442" s="454"/>
      <c r="L442" s="454"/>
      <c r="M442" s="454"/>
      <c r="N442" s="454"/>
      <c r="O442" s="453"/>
      <c r="P442" s="453"/>
      <c r="Q442" s="453"/>
      <c r="R442" s="453"/>
      <c r="S442" s="453"/>
      <c r="T442" s="453"/>
      <c r="U442" s="453"/>
    </row>
    <row r="443" spans="1:21" x14ac:dyDescent="0.2">
      <c r="A443" s="290"/>
      <c r="B443" s="454"/>
      <c r="C443" s="454"/>
      <c r="D443" s="454"/>
      <c r="E443" s="454"/>
      <c r="F443" s="454"/>
      <c r="G443" s="454"/>
      <c r="H443" s="454"/>
      <c r="I443" s="454"/>
      <c r="J443" s="454"/>
      <c r="K443" s="454"/>
      <c r="L443" s="454"/>
      <c r="M443" s="454"/>
      <c r="N443" s="454"/>
      <c r="O443" s="453"/>
      <c r="P443" s="453"/>
      <c r="Q443" s="453"/>
      <c r="R443" s="453"/>
      <c r="S443" s="453"/>
      <c r="T443" s="453"/>
      <c r="U443" s="453"/>
    </row>
    <row r="444" spans="1:21" x14ac:dyDescent="0.2">
      <c r="A444" s="290"/>
      <c r="B444" s="454"/>
      <c r="C444" s="454"/>
      <c r="D444" s="454"/>
      <c r="E444" s="454"/>
      <c r="F444" s="454"/>
      <c r="G444" s="454"/>
      <c r="H444" s="454"/>
      <c r="I444" s="454"/>
      <c r="J444" s="454"/>
      <c r="K444" s="454"/>
      <c r="L444" s="454"/>
      <c r="M444" s="454"/>
      <c r="N444" s="454"/>
      <c r="O444" s="453"/>
      <c r="P444" s="453"/>
      <c r="Q444" s="453"/>
      <c r="R444" s="453"/>
      <c r="S444" s="453"/>
      <c r="T444" s="453"/>
      <c r="U444" s="453"/>
    </row>
    <row r="445" spans="1:21" x14ac:dyDescent="0.2">
      <c r="A445" s="290"/>
      <c r="B445" s="454"/>
      <c r="C445" s="454"/>
      <c r="D445" s="454"/>
      <c r="E445" s="454"/>
      <c r="F445" s="454"/>
      <c r="G445" s="454"/>
      <c r="H445" s="454"/>
      <c r="I445" s="454"/>
      <c r="J445" s="454"/>
      <c r="K445" s="454"/>
      <c r="L445" s="454"/>
      <c r="M445" s="454"/>
      <c r="N445" s="454"/>
      <c r="O445" s="453"/>
      <c r="P445" s="453"/>
      <c r="Q445" s="453"/>
      <c r="R445" s="453"/>
      <c r="S445" s="453"/>
      <c r="T445" s="453"/>
      <c r="U445" s="453"/>
    </row>
    <row r="446" spans="1:21" x14ac:dyDescent="0.2">
      <c r="A446" s="290"/>
      <c r="B446" s="454"/>
      <c r="C446" s="454"/>
      <c r="D446" s="454"/>
      <c r="E446" s="454"/>
      <c r="F446" s="454"/>
      <c r="G446" s="454"/>
      <c r="H446" s="454"/>
      <c r="I446" s="454"/>
      <c r="J446" s="454"/>
      <c r="K446" s="454"/>
      <c r="L446" s="454"/>
      <c r="M446" s="454"/>
      <c r="N446" s="454"/>
      <c r="O446" s="453"/>
      <c r="P446" s="453"/>
      <c r="Q446" s="453"/>
      <c r="R446" s="453"/>
      <c r="S446" s="453"/>
      <c r="T446" s="453"/>
      <c r="U446" s="453"/>
    </row>
    <row r="447" spans="1:21" x14ac:dyDescent="0.2">
      <c r="A447" s="290"/>
      <c r="B447" s="454"/>
      <c r="C447" s="454"/>
      <c r="D447" s="454"/>
      <c r="E447" s="454"/>
      <c r="F447" s="454"/>
      <c r="G447" s="454"/>
      <c r="H447" s="454"/>
      <c r="I447" s="454"/>
      <c r="J447" s="454"/>
      <c r="K447" s="454"/>
      <c r="L447" s="454"/>
      <c r="M447" s="454"/>
      <c r="N447" s="454"/>
      <c r="O447" s="453"/>
      <c r="P447" s="453"/>
      <c r="Q447" s="453"/>
      <c r="R447" s="453"/>
      <c r="S447" s="453"/>
      <c r="T447" s="453"/>
      <c r="U447" s="453"/>
    </row>
    <row r="448" spans="1:21" x14ac:dyDescent="0.2">
      <c r="A448" s="290"/>
      <c r="B448" s="454"/>
      <c r="C448" s="454"/>
      <c r="D448" s="454"/>
      <c r="E448" s="454"/>
      <c r="F448" s="454"/>
      <c r="G448" s="454"/>
      <c r="H448" s="454"/>
      <c r="I448" s="454"/>
      <c r="J448" s="454"/>
      <c r="K448" s="454"/>
      <c r="L448" s="454"/>
      <c r="M448" s="454"/>
      <c r="N448" s="454"/>
      <c r="O448" s="453"/>
      <c r="P448" s="453"/>
      <c r="Q448" s="453"/>
      <c r="R448" s="453"/>
      <c r="S448" s="453"/>
      <c r="T448" s="453"/>
      <c r="U448" s="453"/>
    </row>
    <row r="449" spans="1:21" x14ac:dyDescent="0.2">
      <c r="A449" s="290"/>
      <c r="B449" s="454"/>
      <c r="C449" s="454"/>
      <c r="D449" s="454"/>
      <c r="E449" s="454"/>
      <c r="F449" s="454"/>
      <c r="G449" s="454"/>
      <c r="H449" s="454"/>
      <c r="I449" s="454"/>
      <c r="J449" s="454"/>
      <c r="K449" s="454"/>
      <c r="L449" s="454"/>
      <c r="M449" s="454"/>
      <c r="N449" s="454"/>
      <c r="O449" s="453"/>
      <c r="P449" s="453"/>
      <c r="Q449" s="453"/>
      <c r="R449" s="453"/>
      <c r="S449" s="453"/>
      <c r="T449" s="453"/>
      <c r="U449" s="453"/>
    </row>
    <row r="450" spans="1:21" x14ac:dyDescent="0.2">
      <c r="A450" s="290"/>
      <c r="B450" s="454"/>
      <c r="C450" s="454"/>
      <c r="D450" s="454"/>
      <c r="E450" s="454"/>
      <c r="F450" s="454"/>
      <c r="G450" s="454"/>
      <c r="H450" s="454"/>
      <c r="I450" s="454"/>
      <c r="J450" s="454"/>
      <c r="K450" s="454"/>
      <c r="L450" s="454"/>
      <c r="M450" s="454"/>
      <c r="N450" s="454"/>
      <c r="O450" s="453"/>
      <c r="P450" s="453"/>
      <c r="Q450" s="453"/>
      <c r="R450" s="453"/>
      <c r="S450" s="453"/>
      <c r="T450" s="453"/>
      <c r="U450" s="453"/>
    </row>
    <row r="451" spans="1:21" x14ac:dyDescent="0.2">
      <c r="A451" s="290"/>
      <c r="B451" s="454"/>
      <c r="C451" s="454"/>
      <c r="D451" s="454"/>
      <c r="E451" s="454"/>
      <c r="F451" s="454"/>
      <c r="G451" s="454"/>
      <c r="H451" s="454"/>
      <c r="I451" s="454"/>
      <c r="J451" s="454"/>
      <c r="K451" s="454"/>
      <c r="L451" s="454"/>
      <c r="M451" s="454"/>
      <c r="N451" s="454"/>
      <c r="O451" s="453"/>
      <c r="P451" s="453"/>
      <c r="Q451" s="453"/>
      <c r="R451" s="453"/>
      <c r="S451" s="453"/>
      <c r="T451" s="453"/>
      <c r="U451" s="453"/>
    </row>
    <row r="452" spans="1:21" x14ac:dyDescent="0.2">
      <c r="A452" s="290"/>
      <c r="B452" s="454"/>
      <c r="C452" s="454"/>
      <c r="D452" s="454"/>
      <c r="E452" s="454"/>
      <c r="F452" s="454"/>
      <c r="G452" s="454"/>
      <c r="H452" s="454"/>
      <c r="I452" s="454"/>
      <c r="J452" s="454"/>
      <c r="K452" s="454"/>
      <c r="L452" s="454"/>
      <c r="M452" s="454"/>
      <c r="N452" s="454"/>
      <c r="O452" s="453"/>
      <c r="P452" s="453"/>
      <c r="Q452" s="453"/>
      <c r="R452" s="453"/>
      <c r="S452" s="453"/>
      <c r="T452" s="453"/>
      <c r="U452" s="453"/>
    </row>
    <row r="453" spans="1:21" x14ac:dyDescent="0.2">
      <c r="A453" s="290"/>
      <c r="B453" s="454"/>
      <c r="C453" s="454"/>
      <c r="D453" s="454"/>
      <c r="E453" s="454"/>
      <c r="F453" s="454"/>
      <c r="G453" s="454"/>
      <c r="H453" s="454"/>
      <c r="I453" s="454"/>
      <c r="J453" s="454"/>
      <c r="K453" s="454"/>
      <c r="L453" s="454"/>
      <c r="M453" s="454"/>
      <c r="N453" s="454"/>
      <c r="O453" s="453"/>
      <c r="P453" s="453"/>
      <c r="Q453" s="453"/>
      <c r="R453" s="453"/>
      <c r="S453" s="453"/>
      <c r="T453" s="453"/>
      <c r="U453" s="453"/>
    </row>
    <row r="454" spans="1:21" x14ac:dyDescent="0.2">
      <c r="A454" s="290"/>
      <c r="B454" s="454"/>
      <c r="C454" s="454"/>
      <c r="D454" s="454"/>
      <c r="E454" s="454"/>
      <c r="F454" s="454"/>
      <c r="G454" s="454"/>
      <c r="H454" s="454"/>
      <c r="I454" s="454"/>
      <c r="J454" s="454"/>
      <c r="K454" s="454"/>
      <c r="L454" s="454"/>
      <c r="M454" s="454"/>
      <c r="N454" s="454"/>
      <c r="O454" s="453"/>
      <c r="P454" s="453"/>
      <c r="Q454" s="453"/>
      <c r="R454" s="453"/>
      <c r="S454" s="453"/>
      <c r="T454" s="453"/>
      <c r="U454" s="453"/>
    </row>
    <row r="455" spans="1:21" x14ac:dyDescent="0.2">
      <c r="A455" s="290"/>
      <c r="B455" s="454"/>
      <c r="C455" s="454"/>
      <c r="D455" s="454"/>
      <c r="E455" s="454"/>
      <c r="F455" s="454"/>
      <c r="G455" s="454"/>
      <c r="H455" s="454"/>
      <c r="I455" s="454"/>
      <c r="J455" s="454"/>
      <c r="K455" s="454"/>
      <c r="L455" s="454"/>
      <c r="M455" s="454"/>
      <c r="N455" s="454"/>
      <c r="O455" s="453"/>
      <c r="P455" s="453"/>
      <c r="Q455" s="453"/>
      <c r="R455" s="453"/>
      <c r="S455" s="453"/>
      <c r="T455" s="453"/>
      <c r="U455" s="453"/>
    </row>
    <row r="456" spans="1:21" x14ac:dyDescent="0.2">
      <c r="A456" s="290"/>
      <c r="B456" s="454"/>
      <c r="C456" s="454"/>
      <c r="D456" s="454"/>
      <c r="E456" s="454"/>
      <c r="F456" s="454"/>
      <c r="G456" s="454"/>
      <c r="H456" s="454"/>
      <c r="I456" s="454"/>
      <c r="J456" s="454"/>
      <c r="K456" s="454"/>
      <c r="L456" s="454"/>
      <c r="M456" s="454"/>
      <c r="N456" s="454"/>
      <c r="O456" s="453"/>
      <c r="P456" s="453"/>
      <c r="Q456" s="453"/>
      <c r="R456" s="453"/>
      <c r="S456" s="453"/>
      <c r="T456" s="453"/>
      <c r="U456" s="453"/>
    </row>
    <row r="457" spans="1:21" x14ac:dyDescent="0.2">
      <c r="A457" s="290"/>
      <c r="B457" s="454"/>
      <c r="C457" s="454"/>
      <c r="D457" s="454"/>
      <c r="E457" s="454"/>
      <c r="F457" s="454"/>
      <c r="G457" s="454"/>
      <c r="H457" s="454"/>
      <c r="I457" s="454"/>
      <c r="J457" s="454"/>
      <c r="K457" s="454"/>
      <c r="L457" s="454"/>
      <c r="M457" s="454"/>
      <c r="N457" s="454"/>
      <c r="O457" s="453"/>
      <c r="P457" s="453"/>
      <c r="Q457" s="453"/>
      <c r="R457" s="453"/>
      <c r="S457" s="453"/>
      <c r="T457" s="453"/>
      <c r="U457" s="453"/>
    </row>
    <row r="458" spans="1:21" x14ac:dyDescent="0.2">
      <c r="A458" s="290"/>
      <c r="B458" s="454"/>
      <c r="C458" s="454"/>
      <c r="D458" s="454"/>
      <c r="E458" s="454"/>
      <c r="F458" s="454"/>
      <c r="G458" s="454"/>
      <c r="H458" s="454"/>
      <c r="I458" s="454"/>
      <c r="J458" s="454"/>
      <c r="K458" s="454"/>
      <c r="L458" s="454"/>
      <c r="M458" s="454"/>
      <c r="N458" s="454"/>
      <c r="O458" s="453"/>
      <c r="P458" s="453"/>
      <c r="Q458" s="453"/>
      <c r="R458" s="453"/>
      <c r="S458" s="453"/>
      <c r="T458" s="453"/>
      <c r="U458" s="453"/>
    </row>
    <row r="459" spans="1:21" x14ac:dyDescent="0.2">
      <c r="A459" s="290"/>
      <c r="B459" s="454"/>
      <c r="C459" s="454"/>
      <c r="D459" s="454"/>
      <c r="E459" s="454"/>
      <c r="F459" s="454"/>
      <c r="G459" s="454"/>
      <c r="H459" s="454"/>
      <c r="I459" s="454"/>
      <c r="J459" s="454"/>
      <c r="K459" s="454"/>
      <c r="L459" s="454"/>
      <c r="M459" s="454"/>
      <c r="N459" s="454"/>
      <c r="O459" s="453"/>
      <c r="P459" s="453"/>
      <c r="Q459" s="453"/>
      <c r="R459" s="453"/>
      <c r="S459" s="453"/>
      <c r="T459" s="453"/>
      <c r="U459" s="453"/>
    </row>
    <row r="460" spans="1:21" x14ac:dyDescent="0.2">
      <c r="A460" s="290"/>
      <c r="B460" s="454"/>
      <c r="C460" s="454"/>
      <c r="D460" s="454"/>
      <c r="E460" s="454"/>
      <c r="F460" s="454"/>
      <c r="G460" s="454"/>
      <c r="H460" s="454"/>
      <c r="I460" s="454"/>
      <c r="J460" s="454"/>
      <c r="K460" s="454"/>
      <c r="L460" s="454"/>
      <c r="M460" s="454"/>
      <c r="N460" s="454"/>
      <c r="O460" s="453"/>
      <c r="P460" s="453"/>
      <c r="Q460" s="453"/>
      <c r="R460" s="453"/>
      <c r="S460" s="453"/>
      <c r="T460" s="453"/>
      <c r="U460" s="453"/>
    </row>
    <row r="461" spans="1:21" x14ac:dyDescent="0.2">
      <c r="A461" s="290"/>
      <c r="B461" s="454"/>
      <c r="C461" s="454"/>
      <c r="D461" s="454"/>
      <c r="E461" s="454"/>
      <c r="F461" s="454"/>
      <c r="G461" s="454"/>
      <c r="H461" s="454"/>
      <c r="I461" s="454"/>
      <c r="J461" s="454"/>
      <c r="K461" s="454"/>
      <c r="L461" s="454"/>
      <c r="M461" s="454"/>
      <c r="N461" s="454"/>
      <c r="O461" s="453"/>
      <c r="P461" s="453"/>
      <c r="Q461" s="453"/>
      <c r="R461" s="453"/>
      <c r="S461" s="453"/>
      <c r="T461" s="453"/>
      <c r="U461" s="453"/>
    </row>
    <row r="462" spans="1:21" x14ac:dyDescent="0.2">
      <c r="A462" s="290"/>
      <c r="B462" s="454"/>
      <c r="C462" s="454"/>
      <c r="D462" s="454"/>
      <c r="E462" s="454"/>
      <c r="F462" s="454"/>
      <c r="G462" s="454"/>
      <c r="H462" s="454"/>
      <c r="I462" s="454"/>
      <c r="J462" s="454"/>
      <c r="K462" s="454"/>
      <c r="L462" s="454"/>
      <c r="M462" s="454"/>
      <c r="N462" s="454"/>
      <c r="O462" s="453"/>
      <c r="P462" s="453"/>
      <c r="Q462" s="453"/>
      <c r="R462" s="453"/>
      <c r="S462" s="453"/>
      <c r="T462" s="453"/>
      <c r="U462" s="453"/>
    </row>
    <row r="463" spans="1:21" x14ac:dyDescent="0.2">
      <c r="A463" s="290"/>
      <c r="B463" s="454"/>
      <c r="C463" s="454"/>
      <c r="D463" s="454"/>
      <c r="E463" s="454"/>
      <c r="F463" s="454"/>
      <c r="G463" s="454"/>
      <c r="H463" s="454"/>
      <c r="I463" s="454"/>
      <c r="J463" s="454"/>
      <c r="K463" s="454"/>
      <c r="L463" s="454"/>
      <c r="M463" s="454"/>
      <c r="N463" s="454"/>
      <c r="O463" s="453"/>
      <c r="P463" s="453"/>
      <c r="Q463" s="453"/>
      <c r="R463" s="453"/>
      <c r="S463" s="453"/>
      <c r="T463" s="453"/>
      <c r="U463" s="453"/>
    </row>
    <row r="464" spans="1:21" x14ac:dyDescent="0.2">
      <c r="A464" s="290"/>
      <c r="B464" s="454"/>
      <c r="C464" s="454"/>
      <c r="D464" s="454"/>
      <c r="E464" s="454"/>
      <c r="F464" s="454"/>
      <c r="G464" s="454"/>
      <c r="H464" s="454"/>
      <c r="I464" s="454"/>
      <c r="J464" s="454"/>
      <c r="K464" s="454"/>
      <c r="L464" s="454"/>
      <c r="M464" s="454"/>
      <c r="N464" s="454"/>
      <c r="O464" s="453"/>
      <c r="P464" s="453"/>
      <c r="Q464" s="453"/>
      <c r="R464" s="453"/>
      <c r="S464" s="453"/>
      <c r="T464" s="453"/>
      <c r="U464" s="453"/>
    </row>
    <row r="465" spans="1:21" x14ac:dyDescent="0.2">
      <c r="A465" s="291"/>
      <c r="B465" s="454"/>
      <c r="C465" s="454"/>
      <c r="D465" s="454"/>
      <c r="E465" s="454"/>
      <c r="F465" s="454"/>
      <c r="G465" s="454"/>
      <c r="H465" s="454"/>
      <c r="I465" s="454"/>
      <c r="J465" s="454"/>
      <c r="K465" s="454"/>
      <c r="L465" s="454"/>
      <c r="M465" s="454"/>
      <c r="N465" s="454"/>
      <c r="O465" s="453"/>
      <c r="P465" s="453"/>
      <c r="Q465" s="453"/>
      <c r="R465" s="453"/>
      <c r="S465" s="453"/>
      <c r="T465" s="453"/>
      <c r="U465" s="453"/>
    </row>
    <row r="466" spans="1:21" x14ac:dyDescent="0.2">
      <c r="A466" s="291"/>
      <c r="B466" s="454"/>
      <c r="C466" s="454"/>
      <c r="D466" s="454"/>
      <c r="E466" s="454"/>
      <c r="F466" s="454"/>
      <c r="G466" s="454"/>
      <c r="H466" s="454"/>
      <c r="I466" s="454"/>
      <c r="J466" s="454"/>
      <c r="K466" s="454"/>
      <c r="L466" s="454"/>
      <c r="M466" s="454"/>
      <c r="N466" s="454"/>
      <c r="O466" s="453"/>
      <c r="P466" s="453"/>
      <c r="Q466" s="453"/>
      <c r="R466" s="453"/>
      <c r="S466" s="453"/>
      <c r="T466" s="453"/>
      <c r="U466" s="453"/>
    </row>
    <row r="467" spans="1:21" x14ac:dyDescent="0.2">
      <c r="A467" s="291"/>
      <c r="B467" s="454"/>
      <c r="C467" s="454"/>
      <c r="D467" s="454"/>
      <c r="E467" s="454"/>
      <c r="F467" s="454"/>
      <c r="G467" s="454"/>
      <c r="H467" s="454"/>
      <c r="I467" s="454"/>
      <c r="J467" s="454"/>
      <c r="K467" s="454"/>
      <c r="L467" s="454"/>
      <c r="M467" s="454"/>
      <c r="N467" s="454"/>
      <c r="O467" s="453"/>
      <c r="P467" s="453"/>
      <c r="Q467" s="453"/>
      <c r="R467" s="453"/>
      <c r="S467" s="453"/>
      <c r="T467" s="453"/>
      <c r="U467" s="453"/>
    </row>
    <row r="468" spans="1:21" x14ac:dyDescent="0.2">
      <c r="A468" s="291"/>
      <c r="B468" s="454"/>
      <c r="C468" s="454"/>
      <c r="D468" s="454"/>
      <c r="E468" s="454"/>
      <c r="F468" s="454"/>
      <c r="G468" s="454"/>
      <c r="H468" s="454"/>
      <c r="I468" s="454"/>
      <c r="J468" s="454"/>
      <c r="K468" s="454"/>
      <c r="L468" s="454"/>
      <c r="M468" s="454"/>
      <c r="N468" s="454"/>
      <c r="O468" s="453"/>
      <c r="P468" s="453"/>
      <c r="Q468" s="453"/>
      <c r="R468" s="453"/>
      <c r="S468" s="453"/>
      <c r="T468" s="453"/>
      <c r="U468" s="453"/>
    </row>
    <row r="469" spans="1:21" x14ac:dyDescent="0.2">
      <c r="A469" s="291"/>
      <c r="B469" s="454"/>
      <c r="C469" s="454"/>
      <c r="D469" s="454"/>
      <c r="E469" s="454"/>
      <c r="F469" s="454"/>
      <c r="G469" s="454"/>
      <c r="H469" s="454"/>
      <c r="I469" s="454"/>
      <c r="J469" s="454"/>
      <c r="K469" s="454"/>
      <c r="L469" s="454"/>
      <c r="M469" s="454"/>
      <c r="N469" s="454"/>
      <c r="O469" s="453"/>
      <c r="P469" s="453"/>
      <c r="Q469" s="453"/>
      <c r="R469" s="453"/>
      <c r="S469" s="453"/>
      <c r="T469" s="453"/>
      <c r="U469" s="453"/>
    </row>
    <row r="470" spans="1:21" x14ac:dyDescent="0.2">
      <c r="A470" s="291"/>
      <c r="B470" s="454"/>
      <c r="C470" s="454"/>
      <c r="D470" s="454"/>
      <c r="E470" s="454"/>
      <c r="F470" s="454"/>
      <c r="G470" s="454"/>
      <c r="H470" s="454"/>
      <c r="I470" s="454"/>
      <c r="J470" s="454"/>
      <c r="K470" s="454"/>
      <c r="L470" s="454"/>
      <c r="M470" s="454"/>
      <c r="N470" s="454"/>
      <c r="O470" s="453"/>
      <c r="P470" s="453"/>
      <c r="Q470" s="453"/>
      <c r="R470" s="453"/>
      <c r="S470" s="453"/>
      <c r="T470" s="453"/>
      <c r="U470" s="453"/>
    </row>
    <row r="471" spans="1:21" x14ac:dyDescent="0.2">
      <c r="A471" s="291"/>
      <c r="B471" s="454"/>
      <c r="C471" s="454"/>
      <c r="D471" s="454"/>
      <c r="E471" s="454"/>
      <c r="F471" s="454"/>
      <c r="G471" s="454"/>
      <c r="H471" s="454"/>
      <c r="I471" s="454"/>
      <c r="J471" s="454"/>
      <c r="K471" s="454"/>
      <c r="L471" s="454"/>
      <c r="M471" s="454"/>
      <c r="N471" s="454"/>
      <c r="O471" s="453"/>
      <c r="P471" s="453"/>
      <c r="Q471" s="453"/>
      <c r="R471" s="453"/>
      <c r="S471" s="453"/>
      <c r="T471" s="453"/>
      <c r="U471" s="453"/>
    </row>
    <row r="472" spans="1:21" x14ac:dyDescent="0.2">
      <c r="A472" s="291"/>
      <c r="B472" s="454"/>
      <c r="C472" s="454"/>
      <c r="D472" s="454"/>
      <c r="E472" s="454"/>
      <c r="F472" s="454"/>
      <c r="G472" s="454"/>
      <c r="H472" s="454"/>
      <c r="I472" s="454"/>
      <c r="J472" s="454"/>
      <c r="K472" s="454"/>
      <c r="L472" s="454"/>
      <c r="M472" s="454"/>
      <c r="N472" s="454"/>
      <c r="O472" s="453"/>
      <c r="P472" s="453"/>
      <c r="Q472" s="453"/>
      <c r="R472" s="453"/>
      <c r="S472" s="453"/>
      <c r="T472" s="453"/>
      <c r="U472" s="453"/>
    </row>
    <row r="473" spans="1:21" x14ac:dyDescent="0.2">
      <c r="A473" s="291"/>
      <c r="B473" s="454"/>
      <c r="C473" s="454"/>
      <c r="D473" s="454"/>
      <c r="E473" s="454"/>
      <c r="F473" s="454"/>
      <c r="G473" s="454"/>
      <c r="H473" s="454"/>
      <c r="I473" s="454"/>
      <c r="J473" s="454"/>
      <c r="K473" s="454"/>
      <c r="L473" s="454"/>
      <c r="M473" s="454"/>
      <c r="N473" s="454"/>
      <c r="O473" s="453"/>
      <c r="P473" s="453"/>
      <c r="Q473" s="453"/>
      <c r="R473" s="453"/>
      <c r="S473" s="453"/>
      <c r="T473" s="453"/>
      <c r="U473" s="453"/>
    </row>
    <row r="474" spans="1:21" x14ac:dyDescent="0.2">
      <c r="A474" s="291"/>
      <c r="B474" s="454"/>
      <c r="C474" s="454"/>
      <c r="D474" s="454"/>
      <c r="E474" s="454"/>
      <c r="F474" s="454"/>
      <c r="G474" s="454"/>
      <c r="H474" s="454"/>
      <c r="I474" s="454"/>
      <c r="J474" s="454"/>
      <c r="K474" s="454"/>
      <c r="L474" s="454"/>
      <c r="M474" s="454"/>
      <c r="N474" s="454"/>
      <c r="O474" s="453"/>
      <c r="P474" s="453"/>
      <c r="Q474" s="453"/>
      <c r="R474" s="453"/>
      <c r="S474" s="453"/>
      <c r="T474" s="453"/>
      <c r="U474" s="453"/>
    </row>
    <row r="475" spans="1:21" x14ac:dyDescent="0.2">
      <c r="A475" s="291"/>
      <c r="B475" s="454"/>
      <c r="C475" s="454"/>
      <c r="D475" s="454"/>
      <c r="E475" s="454"/>
      <c r="F475" s="454"/>
      <c r="G475" s="454"/>
      <c r="H475" s="454"/>
      <c r="I475" s="454"/>
      <c r="J475" s="454"/>
      <c r="K475" s="454"/>
      <c r="L475" s="454"/>
      <c r="M475" s="454"/>
      <c r="N475" s="454"/>
      <c r="O475" s="453"/>
      <c r="P475" s="453"/>
      <c r="Q475" s="453"/>
      <c r="R475" s="453"/>
      <c r="S475" s="453"/>
      <c r="T475" s="453"/>
      <c r="U475" s="453"/>
    </row>
    <row r="476" spans="1:21" x14ac:dyDescent="0.2">
      <c r="A476" s="291"/>
      <c r="B476" s="454"/>
      <c r="C476" s="454"/>
      <c r="D476" s="454"/>
      <c r="E476" s="454"/>
      <c r="F476" s="454"/>
      <c r="G476" s="454"/>
      <c r="H476" s="454"/>
      <c r="I476" s="454"/>
      <c r="J476" s="454"/>
      <c r="K476" s="454"/>
      <c r="L476" s="454"/>
      <c r="M476" s="454"/>
      <c r="N476" s="454"/>
      <c r="O476" s="453"/>
      <c r="P476" s="453"/>
      <c r="Q476" s="453"/>
      <c r="R476" s="453"/>
      <c r="S476" s="453"/>
      <c r="T476" s="453"/>
      <c r="U476" s="453"/>
    </row>
    <row r="477" spans="1:21" x14ac:dyDescent="0.2">
      <c r="A477" s="291"/>
      <c r="B477" s="454"/>
      <c r="C477" s="454"/>
      <c r="D477" s="454"/>
      <c r="E477" s="454"/>
      <c r="F477" s="454"/>
      <c r="G477" s="454"/>
      <c r="H477" s="454"/>
      <c r="I477" s="454"/>
      <c r="J477" s="454"/>
      <c r="K477" s="454"/>
      <c r="L477" s="454"/>
      <c r="M477" s="454"/>
      <c r="N477" s="454"/>
      <c r="O477" s="453"/>
      <c r="P477" s="453"/>
      <c r="Q477" s="453"/>
      <c r="R477" s="453"/>
      <c r="S477" s="453"/>
      <c r="T477" s="453"/>
      <c r="U477" s="453"/>
    </row>
    <row r="478" spans="1:21" x14ac:dyDescent="0.2">
      <c r="A478" s="291"/>
      <c r="B478" s="454"/>
      <c r="C478" s="454"/>
      <c r="D478" s="454"/>
      <c r="E478" s="454"/>
      <c r="F478" s="454"/>
      <c r="G478" s="454"/>
      <c r="H478" s="454"/>
      <c r="I478" s="454"/>
      <c r="J478" s="454"/>
      <c r="K478" s="454"/>
      <c r="L478" s="454"/>
      <c r="M478" s="454"/>
      <c r="N478" s="454"/>
      <c r="O478" s="453"/>
      <c r="P478" s="453"/>
      <c r="Q478" s="453"/>
      <c r="R478" s="453"/>
      <c r="S478" s="453"/>
      <c r="T478" s="453"/>
      <c r="U478" s="453"/>
    </row>
    <row r="479" spans="1:21" x14ac:dyDescent="0.2">
      <c r="A479" s="291"/>
      <c r="B479" s="454"/>
      <c r="C479" s="454"/>
      <c r="D479" s="454"/>
      <c r="E479" s="454"/>
      <c r="F479" s="454"/>
      <c r="G479" s="454"/>
      <c r="H479" s="454"/>
      <c r="I479" s="454"/>
      <c r="J479" s="454"/>
      <c r="K479" s="454"/>
      <c r="L479" s="454"/>
      <c r="M479" s="454"/>
      <c r="N479" s="454"/>
      <c r="O479" s="453"/>
      <c r="P479" s="453"/>
      <c r="Q479" s="453"/>
      <c r="R479" s="453"/>
      <c r="S479" s="453"/>
      <c r="T479" s="453"/>
      <c r="U479" s="453"/>
    </row>
    <row r="480" spans="1:21" x14ac:dyDescent="0.2">
      <c r="A480" s="291"/>
      <c r="B480" s="454"/>
      <c r="C480" s="454"/>
      <c r="D480" s="454"/>
      <c r="E480" s="454"/>
      <c r="F480" s="454"/>
      <c r="G480" s="454"/>
      <c r="H480" s="454"/>
      <c r="I480" s="454"/>
      <c r="J480" s="454"/>
      <c r="K480" s="454"/>
      <c r="L480" s="454"/>
      <c r="M480" s="454"/>
      <c r="N480" s="454"/>
      <c r="O480" s="453"/>
      <c r="P480" s="453"/>
      <c r="Q480" s="453"/>
      <c r="R480" s="453"/>
      <c r="S480" s="453"/>
      <c r="T480" s="453"/>
      <c r="U480" s="453"/>
    </row>
    <row r="481" spans="1:21" x14ac:dyDescent="0.2">
      <c r="A481" s="291"/>
      <c r="B481" s="454"/>
      <c r="C481" s="454"/>
      <c r="D481" s="454"/>
      <c r="E481" s="454"/>
      <c r="F481" s="454"/>
      <c r="G481" s="454"/>
      <c r="H481" s="454"/>
      <c r="I481" s="454"/>
      <c r="J481" s="454"/>
      <c r="K481" s="454"/>
      <c r="L481" s="454"/>
      <c r="M481" s="454"/>
      <c r="N481" s="454"/>
      <c r="O481" s="453"/>
      <c r="P481" s="453"/>
      <c r="Q481" s="453"/>
      <c r="R481" s="453"/>
      <c r="S481" s="453"/>
      <c r="T481" s="453"/>
      <c r="U481" s="453"/>
    </row>
    <row r="482" spans="1:21" x14ac:dyDescent="0.2">
      <c r="A482" s="291"/>
      <c r="B482" s="454"/>
      <c r="C482" s="454"/>
      <c r="D482" s="454"/>
      <c r="E482" s="454"/>
      <c r="F482" s="454"/>
      <c r="G482" s="454"/>
      <c r="H482" s="454"/>
      <c r="I482" s="454"/>
      <c r="J482" s="454"/>
      <c r="K482" s="454"/>
      <c r="L482" s="454"/>
      <c r="M482" s="454"/>
      <c r="N482" s="454"/>
      <c r="O482" s="453"/>
      <c r="P482" s="453"/>
      <c r="Q482" s="453"/>
      <c r="R482" s="453"/>
      <c r="S482" s="453"/>
      <c r="T482" s="453"/>
      <c r="U482" s="453"/>
    </row>
    <row r="483" spans="1:21" x14ac:dyDescent="0.2">
      <c r="A483" s="291"/>
      <c r="B483" s="454"/>
      <c r="C483" s="454"/>
      <c r="D483" s="454"/>
      <c r="E483" s="454"/>
      <c r="F483" s="454"/>
      <c r="G483" s="454"/>
      <c r="H483" s="454"/>
      <c r="I483" s="454"/>
      <c r="J483" s="454"/>
      <c r="K483" s="454"/>
      <c r="L483" s="454"/>
      <c r="M483" s="454"/>
      <c r="N483" s="454"/>
      <c r="O483" s="453"/>
      <c r="P483" s="453"/>
      <c r="Q483" s="453"/>
      <c r="R483" s="453"/>
      <c r="S483" s="453"/>
      <c r="T483" s="453"/>
      <c r="U483" s="453"/>
    </row>
    <row r="484" spans="1:21" x14ac:dyDescent="0.2">
      <c r="A484" s="291"/>
      <c r="B484" s="454"/>
      <c r="C484" s="454"/>
      <c r="D484" s="454"/>
      <c r="E484" s="454"/>
      <c r="F484" s="454"/>
      <c r="G484" s="454"/>
      <c r="H484" s="454"/>
      <c r="I484" s="454"/>
      <c r="J484" s="454"/>
      <c r="K484" s="454"/>
      <c r="L484" s="454"/>
      <c r="M484" s="454"/>
      <c r="N484" s="454"/>
      <c r="O484" s="453"/>
      <c r="P484" s="453"/>
      <c r="Q484" s="453"/>
      <c r="R484" s="453"/>
      <c r="S484" s="453"/>
      <c r="T484" s="453"/>
      <c r="U484" s="453"/>
    </row>
    <row r="485" spans="1:21" x14ac:dyDescent="0.2">
      <c r="A485" s="291"/>
      <c r="B485" s="454"/>
      <c r="C485" s="454"/>
      <c r="D485" s="454"/>
      <c r="E485" s="454"/>
      <c r="F485" s="454"/>
      <c r="G485" s="454"/>
      <c r="H485" s="454"/>
      <c r="I485" s="454"/>
      <c r="J485" s="454"/>
      <c r="K485" s="454"/>
      <c r="L485" s="454"/>
      <c r="M485" s="454"/>
      <c r="N485" s="454"/>
      <c r="O485" s="453"/>
      <c r="P485" s="453"/>
      <c r="Q485" s="453"/>
      <c r="R485" s="453"/>
      <c r="S485" s="453"/>
      <c r="T485" s="453"/>
      <c r="U485" s="453"/>
    </row>
    <row r="486" spans="1:21" x14ac:dyDescent="0.2">
      <c r="A486" s="291"/>
      <c r="B486" s="454"/>
      <c r="C486" s="454"/>
      <c r="D486" s="454"/>
      <c r="E486" s="454"/>
      <c r="F486" s="454"/>
      <c r="G486" s="454"/>
      <c r="H486" s="454"/>
      <c r="I486" s="454"/>
      <c r="J486" s="454"/>
      <c r="K486" s="454"/>
      <c r="L486" s="454"/>
      <c r="M486" s="454"/>
      <c r="N486" s="454"/>
      <c r="O486" s="453"/>
      <c r="P486" s="453"/>
      <c r="Q486" s="453"/>
      <c r="R486" s="453"/>
      <c r="S486" s="453"/>
      <c r="T486" s="453"/>
      <c r="U486" s="453"/>
    </row>
    <row r="487" spans="1:21" x14ac:dyDescent="0.2">
      <c r="A487" s="291"/>
      <c r="B487" s="454"/>
      <c r="C487" s="454"/>
      <c r="D487" s="454"/>
      <c r="E487" s="454"/>
      <c r="F487" s="454"/>
      <c r="G487" s="454"/>
      <c r="H487" s="454"/>
      <c r="I487" s="454"/>
      <c r="J487" s="454"/>
      <c r="K487" s="454"/>
      <c r="L487" s="454"/>
      <c r="M487" s="454"/>
      <c r="N487" s="454"/>
      <c r="O487" s="453"/>
      <c r="P487" s="453"/>
      <c r="Q487" s="453"/>
      <c r="R487" s="453"/>
      <c r="S487" s="453"/>
      <c r="T487" s="453"/>
      <c r="U487" s="453"/>
    </row>
    <row r="488" spans="1:21" x14ac:dyDescent="0.2">
      <c r="A488" s="291"/>
      <c r="B488" s="454"/>
      <c r="C488" s="454"/>
      <c r="D488" s="454"/>
      <c r="E488" s="454"/>
      <c r="F488" s="454"/>
      <c r="G488" s="454"/>
      <c r="H488" s="454"/>
      <c r="I488" s="454"/>
      <c r="J488" s="454"/>
      <c r="K488" s="454"/>
      <c r="L488" s="454"/>
      <c r="M488" s="454"/>
      <c r="N488" s="454"/>
      <c r="O488" s="453"/>
      <c r="P488" s="453"/>
      <c r="Q488" s="453"/>
      <c r="R488" s="453"/>
      <c r="S488" s="453"/>
      <c r="T488" s="453"/>
      <c r="U488" s="453"/>
    </row>
    <row r="489" spans="1:21" x14ac:dyDescent="0.2">
      <c r="A489" s="291"/>
      <c r="B489" s="454"/>
      <c r="C489" s="454"/>
      <c r="D489" s="454"/>
      <c r="E489" s="454"/>
      <c r="F489" s="454"/>
      <c r="G489" s="454"/>
      <c r="H489" s="454"/>
      <c r="I489" s="454"/>
      <c r="J489" s="454"/>
      <c r="K489" s="454"/>
      <c r="L489" s="454"/>
      <c r="M489" s="454"/>
      <c r="N489" s="454"/>
      <c r="O489" s="453"/>
      <c r="P489" s="453"/>
      <c r="Q489" s="453"/>
      <c r="R489" s="453"/>
      <c r="S489" s="453"/>
      <c r="T489" s="453"/>
      <c r="U489" s="453"/>
    </row>
    <row r="490" spans="1:21" x14ac:dyDescent="0.2">
      <c r="A490" s="291"/>
      <c r="B490" s="454"/>
      <c r="C490" s="454"/>
      <c r="D490" s="454"/>
      <c r="E490" s="454"/>
      <c r="F490" s="454"/>
      <c r="G490" s="454"/>
      <c r="H490" s="454"/>
      <c r="I490" s="454"/>
      <c r="J490" s="454"/>
      <c r="K490" s="454"/>
      <c r="L490" s="454"/>
      <c r="M490" s="454"/>
      <c r="N490" s="454"/>
      <c r="O490" s="453"/>
      <c r="P490" s="453"/>
      <c r="Q490" s="453"/>
      <c r="R490" s="453"/>
      <c r="S490" s="453"/>
      <c r="T490" s="453"/>
      <c r="U490" s="453"/>
    </row>
    <row r="491" spans="1:21" x14ac:dyDescent="0.2">
      <c r="A491" s="291"/>
      <c r="B491" s="454"/>
      <c r="C491" s="454"/>
      <c r="D491" s="454"/>
      <c r="E491" s="454"/>
      <c r="F491" s="454"/>
      <c r="G491" s="454"/>
      <c r="H491" s="454"/>
      <c r="I491" s="454"/>
      <c r="J491" s="454"/>
      <c r="K491" s="454"/>
      <c r="L491" s="454"/>
      <c r="M491" s="454"/>
      <c r="N491" s="454"/>
      <c r="O491" s="453"/>
      <c r="P491" s="453"/>
      <c r="Q491" s="453"/>
      <c r="R491" s="453"/>
      <c r="S491" s="453"/>
      <c r="T491" s="453"/>
      <c r="U491" s="453"/>
    </row>
    <row r="492" spans="1:21" x14ac:dyDescent="0.2">
      <c r="A492" s="291"/>
      <c r="B492" s="454"/>
      <c r="C492" s="454"/>
      <c r="D492" s="454"/>
      <c r="E492" s="454"/>
      <c r="F492" s="454"/>
      <c r="G492" s="454"/>
      <c r="H492" s="454"/>
      <c r="I492" s="454"/>
      <c r="J492" s="454"/>
      <c r="K492" s="454"/>
      <c r="L492" s="454"/>
      <c r="M492" s="454"/>
      <c r="N492" s="454"/>
      <c r="O492" s="453"/>
      <c r="P492" s="453"/>
      <c r="Q492" s="453"/>
      <c r="R492" s="453"/>
      <c r="S492" s="453"/>
      <c r="T492" s="453"/>
      <c r="U492" s="453"/>
    </row>
    <row r="493" spans="1:21" x14ac:dyDescent="0.2">
      <c r="A493" s="291"/>
      <c r="B493" s="454"/>
      <c r="C493" s="454"/>
      <c r="D493" s="454"/>
      <c r="E493" s="454"/>
      <c r="F493" s="454"/>
      <c r="G493" s="454"/>
      <c r="H493" s="454"/>
      <c r="I493" s="454"/>
      <c r="J493" s="454"/>
      <c r="K493" s="454"/>
      <c r="L493" s="454"/>
      <c r="M493" s="454"/>
      <c r="N493" s="454"/>
      <c r="O493" s="453"/>
      <c r="P493" s="453"/>
      <c r="Q493" s="453"/>
      <c r="R493" s="453"/>
      <c r="S493" s="453"/>
      <c r="T493" s="453"/>
      <c r="U493" s="453"/>
    </row>
    <row r="494" spans="1:21" x14ac:dyDescent="0.2">
      <c r="A494" s="291"/>
      <c r="B494" s="454"/>
      <c r="C494" s="454"/>
      <c r="D494" s="454"/>
      <c r="E494" s="454"/>
      <c r="F494" s="454"/>
      <c r="G494" s="454"/>
      <c r="H494" s="454"/>
      <c r="I494" s="454"/>
      <c r="J494" s="454"/>
      <c r="K494" s="454"/>
      <c r="L494" s="454"/>
      <c r="M494" s="454"/>
      <c r="N494" s="454"/>
      <c r="O494" s="453"/>
      <c r="P494" s="453"/>
      <c r="Q494" s="453"/>
      <c r="R494" s="453"/>
      <c r="S494" s="453"/>
      <c r="T494" s="453"/>
      <c r="U494" s="453"/>
    </row>
    <row r="495" spans="1:21" x14ac:dyDescent="0.2">
      <c r="A495" s="291"/>
      <c r="B495" s="454"/>
      <c r="C495" s="454"/>
      <c r="D495" s="454"/>
      <c r="E495" s="454"/>
      <c r="F495" s="454"/>
      <c r="G495" s="454"/>
      <c r="H495" s="454"/>
      <c r="I495" s="454"/>
      <c r="J495" s="454"/>
      <c r="K495" s="454"/>
      <c r="L495" s="454"/>
      <c r="M495" s="454"/>
      <c r="N495" s="454"/>
      <c r="O495" s="453"/>
      <c r="P495" s="453"/>
      <c r="Q495" s="453"/>
      <c r="R495" s="453"/>
      <c r="S495" s="453"/>
      <c r="T495" s="453"/>
      <c r="U495" s="453"/>
    </row>
    <row r="496" spans="1:21" x14ac:dyDescent="0.2">
      <c r="A496" s="291"/>
      <c r="B496" s="454"/>
      <c r="C496" s="454"/>
      <c r="D496" s="454"/>
      <c r="E496" s="454"/>
      <c r="F496" s="454"/>
      <c r="G496" s="454"/>
      <c r="H496" s="454"/>
      <c r="I496" s="454"/>
      <c r="J496" s="454"/>
      <c r="K496" s="454"/>
      <c r="L496" s="454"/>
      <c r="M496" s="454"/>
      <c r="N496" s="454"/>
      <c r="O496" s="453"/>
      <c r="P496" s="453"/>
      <c r="Q496" s="453"/>
      <c r="R496" s="453"/>
      <c r="S496" s="453"/>
      <c r="T496" s="453"/>
      <c r="U496" s="453"/>
    </row>
    <row r="497" spans="1:21" x14ac:dyDescent="0.2">
      <c r="A497" s="291"/>
      <c r="B497" s="454"/>
      <c r="C497" s="454"/>
      <c r="D497" s="454"/>
      <c r="E497" s="454"/>
      <c r="F497" s="454"/>
      <c r="G497" s="454"/>
      <c r="H497" s="454"/>
      <c r="I497" s="454"/>
      <c r="J497" s="454"/>
      <c r="K497" s="454"/>
      <c r="L497" s="454"/>
      <c r="M497" s="454"/>
      <c r="N497" s="454"/>
      <c r="O497" s="453"/>
      <c r="P497" s="453"/>
      <c r="Q497" s="453"/>
      <c r="R497" s="453"/>
      <c r="S497" s="453"/>
      <c r="T497" s="453"/>
      <c r="U497" s="453"/>
    </row>
    <row r="498" spans="1:21" x14ac:dyDescent="0.2">
      <c r="A498" s="291"/>
      <c r="B498" s="454"/>
      <c r="C498" s="454"/>
      <c r="D498" s="454"/>
      <c r="E498" s="454"/>
      <c r="F498" s="454"/>
      <c r="G498" s="454"/>
      <c r="H498" s="454"/>
      <c r="I498" s="454"/>
      <c r="J498" s="454"/>
      <c r="K498" s="454"/>
      <c r="L498" s="454"/>
      <c r="M498" s="454"/>
      <c r="N498" s="454"/>
      <c r="O498" s="453"/>
      <c r="P498" s="453"/>
      <c r="Q498" s="453"/>
      <c r="R498" s="453"/>
      <c r="S498" s="453"/>
      <c r="T498" s="453"/>
      <c r="U498" s="453"/>
    </row>
    <row r="499" spans="1:21" x14ac:dyDescent="0.2">
      <c r="A499" s="291"/>
      <c r="B499" s="454"/>
      <c r="C499" s="454"/>
      <c r="D499" s="454"/>
      <c r="E499" s="454"/>
      <c r="F499" s="454"/>
      <c r="G499" s="454"/>
      <c r="H499" s="454"/>
      <c r="I499" s="454"/>
      <c r="J499" s="454"/>
      <c r="K499" s="454"/>
      <c r="L499" s="454"/>
      <c r="M499" s="454"/>
      <c r="N499" s="454"/>
      <c r="O499" s="453"/>
      <c r="P499" s="453"/>
      <c r="Q499" s="453"/>
      <c r="R499" s="453"/>
      <c r="S499" s="453"/>
      <c r="T499" s="453"/>
      <c r="U499" s="453"/>
    </row>
    <row r="500" spans="1:21" x14ac:dyDescent="0.2">
      <c r="A500" s="291"/>
      <c r="B500" s="454"/>
      <c r="C500" s="454"/>
      <c r="D500" s="454"/>
      <c r="E500" s="454"/>
      <c r="F500" s="454"/>
      <c r="G500" s="454"/>
      <c r="H500" s="454"/>
      <c r="I500" s="454"/>
      <c r="J500" s="454"/>
      <c r="K500" s="454"/>
      <c r="L500" s="454"/>
      <c r="M500" s="454"/>
      <c r="N500" s="454"/>
      <c r="O500" s="453"/>
      <c r="P500" s="453"/>
      <c r="Q500" s="453"/>
      <c r="R500" s="453"/>
      <c r="S500" s="453"/>
      <c r="T500" s="453"/>
      <c r="U500" s="453"/>
    </row>
    <row r="501" spans="1:21" x14ac:dyDescent="0.2">
      <c r="A501" s="291"/>
      <c r="B501" s="454"/>
      <c r="C501" s="454"/>
      <c r="D501" s="454"/>
      <c r="E501" s="454"/>
      <c r="F501" s="454"/>
      <c r="G501" s="454"/>
      <c r="H501" s="454"/>
      <c r="I501" s="454"/>
      <c r="J501" s="454"/>
      <c r="K501" s="454"/>
      <c r="L501" s="454"/>
      <c r="M501" s="454"/>
      <c r="N501" s="454"/>
      <c r="O501" s="453"/>
      <c r="P501" s="453"/>
      <c r="Q501" s="453"/>
      <c r="R501" s="453"/>
      <c r="S501" s="453"/>
      <c r="T501" s="453"/>
      <c r="U501" s="453"/>
    </row>
    <row r="502" spans="1:21" x14ac:dyDescent="0.2">
      <c r="A502" s="291"/>
      <c r="B502" s="454"/>
      <c r="C502" s="454"/>
      <c r="D502" s="454"/>
      <c r="E502" s="454"/>
      <c r="F502" s="454"/>
      <c r="G502" s="454"/>
      <c r="H502" s="454"/>
      <c r="I502" s="454"/>
      <c r="J502" s="454"/>
      <c r="K502" s="454"/>
      <c r="L502" s="454"/>
      <c r="M502" s="454"/>
      <c r="N502" s="454"/>
      <c r="O502" s="453"/>
      <c r="P502" s="453"/>
      <c r="Q502" s="453"/>
      <c r="R502" s="453"/>
      <c r="S502" s="453"/>
      <c r="T502" s="453"/>
      <c r="U502" s="453"/>
    </row>
    <row r="503" spans="1:21" x14ac:dyDescent="0.2">
      <c r="A503" s="291"/>
      <c r="B503" s="454"/>
      <c r="C503" s="454"/>
      <c r="D503" s="454"/>
      <c r="E503" s="454"/>
      <c r="F503" s="454"/>
      <c r="G503" s="454"/>
      <c r="H503" s="454"/>
      <c r="I503" s="454"/>
      <c r="J503" s="454"/>
      <c r="K503" s="454"/>
      <c r="L503" s="454"/>
      <c r="M503" s="454"/>
      <c r="N503" s="454"/>
      <c r="O503" s="453"/>
      <c r="P503" s="453"/>
      <c r="Q503" s="453"/>
      <c r="R503" s="453"/>
      <c r="S503" s="453"/>
      <c r="T503" s="453"/>
      <c r="U503" s="453"/>
    </row>
    <row r="504" spans="1:21" x14ac:dyDescent="0.2">
      <c r="A504" s="291"/>
      <c r="B504" s="454"/>
      <c r="C504" s="454"/>
      <c r="D504" s="454"/>
      <c r="E504" s="454"/>
      <c r="F504" s="454"/>
      <c r="G504" s="454"/>
      <c r="H504" s="454"/>
      <c r="I504" s="454"/>
      <c r="J504" s="454"/>
      <c r="K504" s="454"/>
      <c r="L504" s="454"/>
      <c r="M504" s="454"/>
      <c r="N504" s="454"/>
      <c r="O504" s="453"/>
      <c r="P504" s="453"/>
      <c r="Q504" s="453"/>
      <c r="R504" s="453"/>
      <c r="S504" s="453"/>
      <c r="T504" s="453"/>
      <c r="U504" s="453"/>
    </row>
    <row r="505" spans="1:21" x14ac:dyDescent="0.2">
      <c r="A505" s="291"/>
      <c r="B505" s="454"/>
      <c r="C505" s="454"/>
      <c r="D505" s="454"/>
      <c r="E505" s="454"/>
      <c r="F505" s="454"/>
      <c r="G505" s="454"/>
      <c r="H505" s="454"/>
      <c r="I505" s="454"/>
      <c r="J505" s="454"/>
      <c r="K505" s="454"/>
      <c r="L505" s="454"/>
      <c r="M505" s="454"/>
      <c r="N505" s="454"/>
      <c r="O505" s="453"/>
      <c r="P505" s="453"/>
      <c r="Q505" s="453"/>
      <c r="R505" s="453"/>
      <c r="S505" s="453"/>
      <c r="T505" s="453"/>
      <c r="U505" s="453"/>
    </row>
    <row r="506" spans="1:21" x14ac:dyDescent="0.2">
      <c r="A506" s="291"/>
      <c r="B506" s="454"/>
      <c r="C506" s="454"/>
      <c r="D506" s="454"/>
      <c r="E506" s="454"/>
      <c r="F506" s="454"/>
      <c r="G506" s="454"/>
      <c r="H506" s="454"/>
      <c r="I506" s="454"/>
      <c r="J506" s="454"/>
      <c r="K506" s="454"/>
      <c r="L506" s="454"/>
      <c r="M506" s="454"/>
      <c r="N506" s="454"/>
      <c r="O506" s="453"/>
      <c r="P506" s="453"/>
      <c r="Q506" s="453"/>
      <c r="R506" s="453"/>
      <c r="S506" s="453"/>
      <c r="T506" s="453"/>
      <c r="U506" s="453"/>
    </row>
    <row r="507" spans="1:21" x14ac:dyDescent="0.2">
      <c r="A507" s="291"/>
      <c r="B507" s="454"/>
      <c r="C507" s="454"/>
      <c r="D507" s="454"/>
      <c r="E507" s="454"/>
      <c r="F507" s="454"/>
      <c r="G507" s="454"/>
      <c r="H507" s="454"/>
      <c r="I507" s="454"/>
      <c r="J507" s="454"/>
      <c r="K507" s="454"/>
      <c r="L507" s="454"/>
      <c r="M507" s="454"/>
      <c r="N507" s="454"/>
      <c r="O507" s="453"/>
      <c r="P507" s="453"/>
      <c r="Q507" s="453"/>
      <c r="R507" s="453"/>
      <c r="S507" s="453"/>
      <c r="T507" s="453"/>
      <c r="U507" s="453"/>
    </row>
    <row r="508" spans="1:21" x14ac:dyDescent="0.2">
      <c r="A508" s="291"/>
      <c r="B508" s="454"/>
      <c r="C508" s="454"/>
      <c r="D508" s="454"/>
      <c r="E508" s="454"/>
      <c r="F508" s="454"/>
      <c r="G508" s="454"/>
      <c r="H508" s="454"/>
      <c r="I508" s="454"/>
      <c r="J508" s="454"/>
      <c r="K508" s="454"/>
      <c r="L508" s="454"/>
      <c r="M508" s="454"/>
      <c r="N508" s="454"/>
      <c r="O508" s="453"/>
      <c r="P508" s="453"/>
      <c r="Q508" s="453"/>
      <c r="R508" s="453"/>
      <c r="S508" s="453"/>
      <c r="T508" s="453"/>
      <c r="U508" s="453"/>
    </row>
    <row r="509" spans="1:21" x14ac:dyDescent="0.2">
      <c r="A509" s="291"/>
      <c r="B509" s="454"/>
      <c r="C509" s="454"/>
      <c r="D509" s="454"/>
      <c r="E509" s="454"/>
      <c r="F509" s="454"/>
      <c r="G509" s="454"/>
      <c r="H509" s="454"/>
      <c r="I509" s="454"/>
      <c r="J509" s="454"/>
      <c r="K509" s="454"/>
      <c r="L509" s="454"/>
      <c r="M509" s="454"/>
      <c r="N509" s="454"/>
      <c r="O509" s="453"/>
      <c r="P509" s="453"/>
      <c r="Q509" s="453"/>
      <c r="R509" s="453"/>
      <c r="S509" s="453"/>
      <c r="T509" s="453"/>
      <c r="U509" s="453"/>
    </row>
    <row r="510" spans="1:21" x14ac:dyDescent="0.2">
      <c r="A510" s="291"/>
      <c r="B510" s="454"/>
      <c r="C510" s="454"/>
      <c r="D510" s="454"/>
      <c r="E510" s="454"/>
      <c r="F510" s="454"/>
      <c r="G510" s="454"/>
      <c r="H510" s="454"/>
      <c r="I510" s="454"/>
      <c r="J510" s="454"/>
      <c r="K510" s="454"/>
      <c r="L510" s="454"/>
      <c r="M510" s="454"/>
      <c r="N510" s="454"/>
      <c r="O510" s="453"/>
      <c r="P510" s="453"/>
      <c r="Q510" s="453"/>
      <c r="R510" s="453"/>
      <c r="S510" s="453"/>
      <c r="T510" s="453"/>
      <c r="U510" s="453"/>
    </row>
    <row r="511" spans="1:21" x14ac:dyDescent="0.2">
      <c r="A511" s="291"/>
      <c r="B511" s="454"/>
      <c r="C511" s="454"/>
      <c r="D511" s="454"/>
      <c r="E511" s="454"/>
      <c r="F511" s="454"/>
      <c r="G511" s="454"/>
      <c r="H511" s="454"/>
      <c r="I511" s="454"/>
      <c r="J511" s="454"/>
      <c r="K511" s="454"/>
      <c r="L511" s="454"/>
      <c r="M511" s="454"/>
      <c r="N511" s="454"/>
      <c r="O511" s="453"/>
      <c r="P511" s="453"/>
      <c r="Q511" s="453"/>
      <c r="R511" s="453"/>
      <c r="S511" s="453"/>
      <c r="T511" s="453"/>
      <c r="U511" s="453"/>
    </row>
    <row r="512" spans="1:21" x14ac:dyDescent="0.2">
      <c r="A512" s="291"/>
      <c r="B512" s="454"/>
      <c r="C512" s="454"/>
      <c r="D512" s="454"/>
      <c r="E512" s="454"/>
      <c r="F512" s="454"/>
      <c r="G512" s="454"/>
      <c r="H512" s="454"/>
      <c r="I512" s="454"/>
      <c r="J512" s="454"/>
      <c r="K512" s="454"/>
      <c r="L512" s="454"/>
      <c r="M512" s="454"/>
      <c r="N512" s="454"/>
      <c r="O512" s="453"/>
      <c r="P512" s="453"/>
      <c r="Q512" s="453"/>
      <c r="R512" s="453"/>
      <c r="S512" s="453"/>
      <c r="T512" s="453"/>
      <c r="U512" s="453"/>
    </row>
    <row r="513" spans="1:21" x14ac:dyDescent="0.2">
      <c r="A513" s="291"/>
      <c r="B513" s="454"/>
      <c r="C513" s="454"/>
      <c r="D513" s="454"/>
      <c r="E513" s="454"/>
      <c r="F513" s="454"/>
      <c r="G513" s="454"/>
      <c r="H513" s="454"/>
      <c r="I513" s="454"/>
      <c r="J513" s="454"/>
      <c r="K513" s="454"/>
      <c r="L513" s="454"/>
      <c r="M513" s="454"/>
      <c r="N513" s="454"/>
      <c r="O513" s="453"/>
      <c r="P513" s="453"/>
      <c r="Q513" s="453"/>
      <c r="R513" s="453"/>
      <c r="S513" s="453"/>
      <c r="T513" s="453"/>
      <c r="U513" s="453"/>
    </row>
    <row r="514" spans="1:21" x14ac:dyDescent="0.2">
      <c r="A514" s="291"/>
      <c r="B514" s="454"/>
      <c r="C514" s="454"/>
      <c r="D514" s="454"/>
      <c r="E514" s="454"/>
      <c r="F514" s="454"/>
      <c r="G514" s="454"/>
      <c r="H514" s="454"/>
      <c r="I514" s="454"/>
      <c r="J514" s="454"/>
      <c r="K514" s="454"/>
      <c r="L514" s="454"/>
      <c r="M514" s="454"/>
      <c r="N514" s="454"/>
      <c r="O514" s="453"/>
      <c r="P514" s="453"/>
      <c r="Q514" s="453"/>
      <c r="R514" s="453"/>
      <c r="S514" s="453"/>
      <c r="T514" s="453"/>
      <c r="U514" s="453"/>
    </row>
    <row r="515" spans="1:21" x14ac:dyDescent="0.2">
      <c r="A515" s="291"/>
      <c r="B515" s="454"/>
      <c r="C515" s="454"/>
      <c r="D515" s="454"/>
      <c r="E515" s="454"/>
      <c r="F515" s="454"/>
      <c r="G515" s="454"/>
      <c r="H515" s="454"/>
      <c r="I515" s="454"/>
      <c r="J515" s="454"/>
      <c r="K515" s="454"/>
      <c r="L515" s="454"/>
      <c r="M515" s="454"/>
      <c r="N515" s="454"/>
      <c r="O515" s="453"/>
      <c r="P515" s="453"/>
      <c r="Q515" s="453"/>
      <c r="R515" s="453"/>
      <c r="S515" s="453"/>
      <c r="T515" s="453"/>
      <c r="U515" s="453"/>
    </row>
    <row r="516" spans="1:21" x14ac:dyDescent="0.2">
      <c r="A516" s="291"/>
      <c r="B516" s="454"/>
      <c r="C516" s="454"/>
      <c r="D516" s="454"/>
      <c r="E516" s="454"/>
      <c r="F516" s="454"/>
      <c r="G516" s="454"/>
      <c r="H516" s="454"/>
      <c r="I516" s="454"/>
      <c r="J516" s="454"/>
      <c r="K516" s="454"/>
      <c r="L516" s="454"/>
      <c r="M516" s="454"/>
      <c r="N516" s="454"/>
      <c r="O516" s="453"/>
      <c r="P516" s="453"/>
      <c r="Q516" s="453"/>
      <c r="R516" s="453"/>
      <c r="S516" s="453"/>
      <c r="T516" s="453"/>
      <c r="U516" s="453"/>
    </row>
    <row r="517" spans="1:21" x14ac:dyDescent="0.2">
      <c r="A517" s="291"/>
      <c r="B517" s="454"/>
      <c r="C517" s="454"/>
      <c r="D517" s="454"/>
      <c r="E517" s="454"/>
      <c r="F517" s="454"/>
      <c r="G517" s="454"/>
      <c r="H517" s="454"/>
      <c r="I517" s="454"/>
      <c r="J517" s="454"/>
      <c r="K517" s="454"/>
      <c r="L517" s="454"/>
      <c r="M517" s="454"/>
      <c r="N517" s="454"/>
      <c r="O517" s="453"/>
      <c r="P517" s="453"/>
      <c r="Q517" s="453"/>
      <c r="R517" s="453"/>
      <c r="S517" s="453"/>
      <c r="T517" s="453"/>
      <c r="U517" s="453"/>
    </row>
    <row r="518" spans="1:21" x14ac:dyDescent="0.2">
      <c r="A518" s="291"/>
      <c r="B518" s="454"/>
      <c r="C518" s="454"/>
      <c r="D518" s="454"/>
      <c r="E518" s="454"/>
      <c r="F518" s="454"/>
      <c r="G518" s="454"/>
      <c r="H518" s="454"/>
      <c r="I518" s="454"/>
      <c r="J518" s="454"/>
      <c r="K518" s="454"/>
      <c r="L518" s="454"/>
      <c r="M518" s="454"/>
      <c r="N518" s="454"/>
      <c r="O518" s="453"/>
      <c r="P518" s="453"/>
      <c r="Q518" s="453"/>
      <c r="R518" s="453"/>
      <c r="S518" s="453"/>
      <c r="T518" s="453"/>
      <c r="U518" s="453"/>
    </row>
    <row r="519" spans="1:21" x14ac:dyDescent="0.2">
      <c r="A519" s="291"/>
      <c r="B519" s="454"/>
      <c r="C519" s="454"/>
      <c r="D519" s="454"/>
      <c r="E519" s="454"/>
      <c r="F519" s="454"/>
      <c r="G519" s="454"/>
      <c r="H519" s="454"/>
      <c r="I519" s="454"/>
      <c r="J519" s="454"/>
      <c r="K519" s="454"/>
      <c r="L519" s="454"/>
      <c r="M519" s="454"/>
      <c r="N519" s="454"/>
      <c r="O519" s="453"/>
      <c r="P519" s="453"/>
      <c r="Q519" s="453"/>
      <c r="R519" s="453"/>
      <c r="S519" s="453"/>
      <c r="T519" s="453"/>
      <c r="U519" s="453"/>
    </row>
    <row r="520" spans="1:21" x14ac:dyDescent="0.2">
      <c r="A520" s="291"/>
      <c r="B520" s="454"/>
      <c r="C520" s="454"/>
      <c r="D520" s="454"/>
      <c r="E520" s="454"/>
      <c r="F520" s="454"/>
      <c r="G520" s="454"/>
      <c r="H520" s="454"/>
      <c r="I520" s="454"/>
      <c r="J520" s="454"/>
      <c r="K520" s="454"/>
      <c r="L520" s="454"/>
      <c r="M520" s="454"/>
      <c r="N520" s="454"/>
      <c r="O520" s="453"/>
      <c r="P520" s="453"/>
      <c r="Q520" s="453"/>
      <c r="R520" s="453"/>
      <c r="S520" s="453"/>
      <c r="T520" s="453"/>
      <c r="U520" s="453"/>
    </row>
    <row r="521" spans="1:21" x14ac:dyDescent="0.2">
      <c r="A521" s="291"/>
      <c r="B521" s="454"/>
      <c r="C521" s="454"/>
      <c r="D521" s="454"/>
      <c r="E521" s="454"/>
      <c r="F521" s="454"/>
      <c r="G521" s="454"/>
      <c r="H521" s="454"/>
      <c r="I521" s="454"/>
      <c r="J521" s="454"/>
      <c r="K521" s="454"/>
      <c r="L521" s="454"/>
      <c r="M521" s="454"/>
      <c r="N521" s="454"/>
      <c r="O521" s="453"/>
      <c r="P521" s="453"/>
      <c r="Q521" s="453"/>
      <c r="R521" s="453"/>
      <c r="S521" s="453"/>
      <c r="T521" s="453"/>
      <c r="U521" s="453"/>
    </row>
    <row r="522" spans="1:21" x14ac:dyDescent="0.2">
      <c r="A522" s="291"/>
      <c r="B522" s="454"/>
      <c r="C522" s="454"/>
      <c r="D522" s="454"/>
      <c r="E522" s="454"/>
      <c r="F522" s="454"/>
      <c r="G522" s="454"/>
      <c r="H522" s="454"/>
      <c r="I522" s="454"/>
      <c r="J522" s="454"/>
      <c r="K522" s="454"/>
      <c r="L522" s="454"/>
      <c r="M522" s="454"/>
      <c r="N522" s="454"/>
      <c r="O522" s="453"/>
      <c r="P522" s="453"/>
      <c r="Q522" s="453"/>
      <c r="R522" s="453"/>
      <c r="S522" s="453"/>
      <c r="T522" s="453"/>
      <c r="U522" s="453"/>
    </row>
    <row r="523" spans="1:21" x14ac:dyDescent="0.2">
      <c r="A523" s="291"/>
      <c r="B523" s="454"/>
      <c r="C523" s="454"/>
      <c r="D523" s="454"/>
      <c r="E523" s="454"/>
      <c r="F523" s="454"/>
      <c r="G523" s="454"/>
      <c r="H523" s="454"/>
      <c r="I523" s="454"/>
      <c r="J523" s="454"/>
      <c r="K523" s="454"/>
      <c r="L523" s="454"/>
      <c r="M523" s="454"/>
      <c r="N523" s="454"/>
      <c r="O523" s="453"/>
      <c r="P523" s="453"/>
      <c r="Q523" s="453"/>
      <c r="R523" s="453"/>
      <c r="S523" s="453"/>
      <c r="T523" s="453"/>
      <c r="U523" s="453"/>
    </row>
  </sheetData>
  <mergeCells count="1521">
    <mergeCell ref="B522:N522"/>
    <mergeCell ref="O522:S522"/>
    <mergeCell ref="T522:U522"/>
    <mergeCell ref="B523:N523"/>
    <mergeCell ref="O523:S523"/>
    <mergeCell ref="T523:U523"/>
    <mergeCell ref="B520:N520"/>
    <mergeCell ref="O520:S520"/>
    <mergeCell ref="T520:U520"/>
    <mergeCell ref="B521:N521"/>
    <mergeCell ref="O521:S521"/>
    <mergeCell ref="T521:U521"/>
    <mergeCell ref="B518:N518"/>
    <mergeCell ref="O518:S518"/>
    <mergeCell ref="T518:U518"/>
    <mergeCell ref="B519:N519"/>
    <mergeCell ref="O519:S519"/>
    <mergeCell ref="T519:U519"/>
    <mergeCell ref="B516:N516"/>
    <mergeCell ref="O516:S516"/>
    <mergeCell ref="T516:U516"/>
    <mergeCell ref="B517:N517"/>
    <mergeCell ref="O517:S517"/>
    <mergeCell ref="T517:U517"/>
    <mergeCell ref="B514:N514"/>
    <mergeCell ref="O514:S514"/>
    <mergeCell ref="T514:U514"/>
    <mergeCell ref="B515:N515"/>
    <mergeCell ref="O515:S515"/>
    <mergeCell ref="T515:U515"/>
    <mergeCell ref="B512:N512"/>
    <mergeCell ref="O512:S512"/>
    <mergeCell ref="T512:U512"/>
    <mergeCell ref="B513:N513"/>
    <mergeCell ref="O513:S513"/>
    <mergeCell ref="T513:U513"/>
    <mergeCell ref="B510:N510"/>
    <mergeCell ref="O510:S510"/>
    <mergeCell ref="T510:U510"/>
    <mergeCell ref="B511:N511"/>
    <mergeCell ref="O511:S511"/>
    <mergeCell ref="T511:U511"/>
    <mergeCell ref="B508:N508"/>
    <mergeCell ref="O508:S508"/>
    <mergeCell ref="T508:U508"/>
    <mergeCell ref="B509:N509"/>
    <mergeCell ref="O509:S509"/>
    <mergeCell ref="T509:U509"/>
    <mergeCell ref="B506:N506"/>
    <mergeCell ref="O506:S506"/>
    <mergeCell ref="T506:U506"/>
    <mergeCell ref="B507:N507"/>
    <mergeCell ref="O507:S507"/>
    <mergeCell ref="T507:U507"/>
    <mergeCell ref="B504:N504"/>
    <mergeCell ref="O504:S504"/>
    <mergeCell ref="T504:U504"/>
    <mergeCell ref="B505:N505"/>
    <mergeCell ref="O505:S505"/>
    <mergeCell ref="T505:U505"/>
    <mergeCell ref="B502:N502"/>
    <mergeCell ref="O502:S502"/>
    <mergeCell ref="T502:U502"/>
    <mergeCell ref="B503:N503"/>
    <mergeCell ref="O503:S503"/>
    <mergeCell ref="T503:U503"/>
    <mergeCell ref="B500:N500"/>
    <mergeCell ref="O500:S500"/>
    <mergeCell ref="T500:U500"/>
    <mergeCell ref="B501:N501"/>
    <mergeCell ref="O501:S501"/>
    <mergeCell ref="T501:U501"/>
    <mergeCell ref="B498:N498"/>
    <mergeCell ref="O498:S498"/>
    <mergeCell ref="T498:U498"/>
    <mergeCell ref="B499:N499"/>
    <mergeCell ref="O499:S499"/>
    <mergeCell ref="T499:U499"/>
    <mergeCell ref="B496:N496"/>
    <mergeCell ref="O496:S496"/>
    <mergeCell ref="T496:U496"/>
    <mergeCell ref="B497:N497"/>
    <mergeCell ref="O497:S497"/>
    <mergeCell ref="T497:U497"/>
    <mergeCell ref="B494:N494"/>
    <mergeCell ref="O494:S494"/>
    <mergeCell ref="T494:U494"/>
    <mergeCell ref="B495:N495"/>
    <mergeCell ref="O495:S495"/>
    <mergeCell ref="T495:U495"/>
    <mergeCell ref="B492:N492"/>
    <mergeCell ref="O492:S492"/>
    <mergeCell ref="T492:U492"/>
    <mergeCell ref="B493:N493"/>
    <mergeCell ref="O493:S493"/>
    <mergeCell ref="T493:U493"/>
    <mergeCell ref="B490:N490"/>
    <mergeCell ref="O490:S490"/>
    <mergeCell ref="T490:U490"/>
    <mergeCell ref="B491:N491"/>
    <mergeCell ref="O491:S491"/>
    <mergeCell ref="T491:U491"/>
    <mergeCell ref="B488:N488"/>
    <mergeCell ref="O488:S488"/>
    <mergeCell ref="T488:U488"/>
    <mergeCell ref="B489:N489"/>
    <mergeCell ref="O489:S489"/>
    <mergeCell ref="T489:U489"/>
    <mergeCell ref="B486:N486"/>
    <mergeCell ref="O486:S486"/>
    <mergeCell ref="T486:U486"/>
    <mergeCell ref="B487:N487"/>
    <mergeCell ref="O487:S487"/>
    <mergeCell ref="T487:U487"/>
    <mergeCell ref="B484:N484"/>
    <mergeCell ref="O484:S484"/>
    <mergeCell ref="T484:U484"/>
    <mergeCell ref="B485:N485"/>
    <mergeCell ref="O485:S485"/>
    <mergeCell ref="T485:U485"/>
    <mergeCell ref="B482:N482"/>
    <mergeCell ref="O482:S482"/>
    <mergeCell ref="T482:U482"/>
    <mergeCell ref="B483:N483"/>
    <mergeCell ref="O483:S483"/>
    <mergeCell ref="T483:U483"/>
    <mergeCell ref="B480:N480"/>
    <mergeCell ref="O480:S480"/>
    <mergeCell ref="T480:U480"/>
    <mergeCell ref="B481:N481"/>
    <mergeCell ref="O481:S481"/>
    <mergeCell ref="T481:U481"/>
    <mergeCell ref="B478:N478"/>
    <mergeCell ref="O478:S478"/>
    <mergeCell ref="T478:U478"/>
    <mergeCell ref="B479:N479"/>
    <mergeCell ref="O479:S479"/>
    <mergeCell ref="T479:U479"/>
    <mergeCell ref="B476:N476"/>
    <mergeCell ref="O476:S476"/>
    <mergeCell ref="T476:U476"/>
    <mergeCell ref="B477:N477"/>
    <mergeCell ref="O477:S477"/>
    <mergeCell ref="T477:U477"/>
    <mergeCell ref="B474:N474"/>
    <mergeCell ref="O474:S474"/>
    <mergeCell ref="T474:U474"/>
    <mergeCell ref="B475:N475"/>
    <mergeCell ref="O475:S475"/>
    <mergeCell ref="T475:U475"/>
    <mergeCell ref="B472:N472"/>
    <mergeCell ref="O472:S472"/>
    <mergeCell ref="T472:U472"/>
    <mergeCell ref="B473:N473"/>
    <mergeCell ref="O473:S473"/>
    <mergeCell ref="T473:U473"/>
    <mergeCell ref="B470:N470"/>
    <mergeCell ref="O470:S470"/>
    <mergeCell ref="T470:U470"/>
    <mergeCell ref="B471:N471"/>
    <mergeCell ref="O471:S471"/>
    <mergeCell ref="T471:U471"/>
    <mergeCell ref="B468:N468"/>
    <mergeCell ref="O468:S468"/>
    <mergeCell ref="T468:U468"/>
    <mergeCell ref="B469:N469"/>
    <mergeCell ref="O469:S469"/>
    <mergeCell ref="T469:U469"/>
    <mergeCell ref="B466:N466"/>
    <mergeCell ref="O466:S466"/>
    <mergeCell ref="T466:U466"/>
    <mergeCell ref="B467:N467"/>
    <mergeCell ref="O467:S467"/>
    <mergeCell ref="T467:U467"/>
    <mergeCell ref="B464:N464"/>
    <mergeCell ref="O464:S464"/>
    <mergeCell ref="T464:U464"/>
    <mergeCell ref="B465:N465"/>
    <mergeCell ref="O465:S465"/>
    <mergeCell ref="T465:U465"/>
    <mergeCell ref="B462:N462"/>
    <mergeCell ref="O462:S462"/>
    <mergeCell ref="T462:U462"/>
    <mergeCell ref="B463:N463"/>
    <mergeCell ref="O463:S463"/>
    <mergeCell ref="T463:U463"/>
    <mergeCell ref="B460:N460"/>
    <mergeCell ref="O460:S460"/>
    <mergeCell ref="T460:U460"/>
    <mergeCell ref="B461:N461"/>
    <mergeCell ref="O461:S461"/>
    <mergeCell ref="T461:U461"/>
    <mergeCell ref="B458:N458"/>
    <mergeCell ref="O458:S458"/>
    <mergeCell ref="T458:U458"/>
    <mergeCell ref="B459:N459"/>
    <mergeCell ref="O459:S459"/>
    <mergeCell ref="T459:U459"/>
    <mergeCell ref="B456:N456"/>
    <mergeCell ref="O456:S456"/>
    <mergeCell ref="T456:U456"/>
    <mergeCell ref="B457:N457"/>
    <mergeCell ref="O457:S457"/>
    <mergeCell ref="T457:U457"/>
    <mergeCell ref="B454:N454"/>
    <mergeCell ref="O454:S454"/>
    <mergeCell ref="T454:U454"/>
    <mergeCell ref="B455:N455"/>
    <mergeCell ref="O455:S455"/>
    <mergeCell ref="T455:U455"/>
    <mergeCell ref="B452:N452"/>
    <mergeCell ref="O452:S452"/>
    <mergeCell ref="T452:U452"/>
    <mergeCell ref="B453:N453"/>
    <mergeCell ref="O453:S453"/>
    <mergeCell ref="T453:U453"/>
    <mergeCell ref="B450:N450"/>
    <mergeCell ref="O450:S450"/>
    <mergeCell ref="T450:U450"/>
    <mergeCell ref="B451:N451"/>
    <mergeCell ref="O451:S451"/>
    <mergeCell ref="T451:U451"/>
    <mergeCell ref="B448:N448"/>
    <mergeCell ref="O448:S448"/>
    <mergeCell ref="T448:U448"/>
    <mergeCell ref="B449:N449"/>
    <mergeCell ref="O449:S449"/>
    <mergeCell ref="T449:U449"/>
    <mergeCell ref="B446:N446"/>
    <mergeCell ref="O446:S446"/>
    <mergeCell ref="T446:U446"/>
    <mergeCell ref="B447:N447"/>
    <mergeCell ref="O447:S447"/>
    <mergeCell ref="T447:U447"/>
    <mergeCell ref="B444:N444"/>
    <mergeCell ref="O444:S444"/>
    <mergeCell ref="T444:U444"/>
    <mergeCell ref="B445:N445"/>
    <mergeCell ref="O445:S445"/>
    <mergeCell ref="T445:U445"/>
    <mergeCell ref="B442:N442"/>
    <mergeCell ref="O442:S442"/>
    <mergeCell ref="T442:U442"/>
    <mergeCell ref="B443:N443"/>
    <mergeCell ref="O443:S443"/>
    <mergeCell ref="T443:U443"/>
    <mergeCell ref="B440:N440"/>
    <mergeCell ref="O440:S440"/>
    <mergeCell ref="T440:U440"/>
    <mergeCell ref="B441:N441"/>
    <mergeCell ref="O441:S441"/>
    <mergeCell ref="T441:U441"/>
    <mergeCell ref="B438:N438"/>
    <mergeCell ref="O438:S438"/>
    <mergeCell ref="T438:U438"/>
    <mergeCell ref="B439:N439"/>
    <mergeCell ref="O439:S439"/>
    <mergeCell ref="T439:U439"/>
    <mergeCell ref="B436:N436"/>
    <mergeCell ref="O436:S436"/>
    <mergeCell ref="T436:U436"/>
    <mergeCell ref="B437:N437"/>
    <mergeCell ref="O437:S437"/>
    <mergeCell ref="T437:U437"/>
    <mergeCell ref="B434:N434"/>
    <mergeCell ref="O434:S434"/>
    <mergeCell ref="T434:U434"/>
    <mergeCell ref="B435:N435"/>
    <mergeCell ref="O435:S435"/>
    <mergeCell ref="T435:U435"/>
    <mergeCell ref="B432:N432"/>
    <mergeCell ref="O432:S432"/>
    <mergeCell ref="T432:U432"/>
    <mergeCell ref="B433:N433"/>
    <mergeCell ref="O433:S433"/>
    <mergeCell ref="T433:U433"/>
    <mergeCell ref="B430:N430"/>
    <mergeCell ref="O430:S430"/>
    <mergeCell ref="T430:U430"/>
    <mergeCell ref="B431:N431"/>
    <mergeCell ref="O431:S431"/>
    <mergeCell ref="T431:U431"/>
    <mergeCell ref="B428:N428"/>
    <mergeCell ref="O428:S428"/>
    <mergeCell ref="T428:U428"/>
    <mergeCell ref="B429:N429"/>
    <mergeCell ref="O429:S429"/>
    <mergeCell ref="T429:U429"/>
    <mergeCell ref="B426:N426"/>
    <mergeCell ref="O426:S426"/>
    <mergeCell ref="T426:U426"/>
    <mergeCell ref="B427:N427"/>
    <mergeCell ref="O427:S427"/>
    <mergeCell ref="T427:U427"/>
    <mergeCell ref="B424:N424"/>
    <mergeCell ref="O424:S424"/>
    <mergeCell ref="T424:U424"/>
    <mergeCell ref="B425:N425"/>
    <mergeCell ref="O425:S425"/>
    <mergeCell ref="T425:U425"/>
    <mergeCell ref="B422:N422"/>
    <mergeCell ref="O422:S422"/>
    <mergeCell ref="T422:U422"/>
    <mergeCell ref="B423:N423"/>
    <mergeCell ref="O423:S423"/>
    <mergeCell ref="T423:U423"/>
    <mergeCell ref="B420:N420"/>
    <mergeCell ref="O420:S420"/>
    <mergeCell ref="T420:U420"/>
    <mergeCell ref="B421:N421"/>
    <mergeCell ref="O421:S421"/>
    <mergeCell ref="T421:U421"/>
    <mergeCell ref="B418:N418"/>
    <mergeCell ref="O418:S418"/>
    <mergeCell ref="T418:U418"/>
    <mergeCell ref="B419:N419"/>
    <mergeCell ref="O419:S419"/>
    <mergeCell ref="T419:U419"/>
    <mergeCell ref="B416:N416"/>
    <mergeCell ref="O416:S416"/>
    <mergeCell ref="T416:U416"/>
    <mergeCell ref="B417:N417"/>
    <mergeCell ref="O417:S417"/>
    <mergeCell ref="T417:U417"/>
    <mergeCell ref="B414:N414"/>
    <mergeCell ref="O414:S414"/>
    <mergeCell ref="T414:U414"/>
    <mergeCell ref="B415:N415"/>
    <mergeCell ref="O415:S415"/>
    <mergeCell ref="T415:U415"/>
    <mergeCell ref="B412:N412"/>
    <mergeCell ref="O412:S412"/>
    <mergeCell ref="T412:U412"/>
    <mergeCell ref="B413:N413"/>
    <mergeCell ref="O413:S413"/>
    <mergeCell ref="T413:U413"/>
    <mergeCell ref="B410:N410"/>
    <mergeCell ref="O410:S410"/>
    <mergeCell ref="T410:U410"/>
    <mergeCell ref="B411:N411"/>
    <mergeCell ref="O411:S411"/>
    <mergeCell ref="T411:U411"/>
    <mergeCell ref="B408:N408"/>
    <mergeCell ref="O408:S408"/>
    <mergeCell ref="T408:U408"/>
    <mergeCell ref="B409:N409"/>
    <mergeCell ref="O409:S409"/>
    <mergeCell ref="T409:U409"/>
    <mergeCell ref="B406:N406"/>
    <mergeCell ref="O406:S406"/>
    <mergeCell ref="T406:U406"/>
    <mergeCell ref="B407:N407"/>
    <mergeCell ref="O407:S407"/>
    <mergeCell ref="T407:U407"/>
    <mergeCell ref="B404:N404"/>
    <mergeCell ref="O404:S404"/>
    <mergeCell ref="T404:U404"/>
    <mergeCell ref="B405:N405"/>
    <mergeCell ref="O405:S405"/>
    <mergeCell ref="T405:U405"/>
    <mergeCell ref="B402:N402"/>
    <mergeCell ref="O402:S402"/>
    <mergeCell ref="T402:U402"/>
    <mergeCell ref="B403:N403"/>
    <mergeCell ref="O403:S403"/>
    <mergeCell ref="T403:U403"/>
    <mergeCell ref="B400:N400"/>
    <mergeCell ref="O400:S400"/>
    <mergeCell ref="T400:U400"/>
    <mergeCell ref="B401:N401"/>
    <mergeCell ref="O401:S401"/>
    <mergeCell ref="T401:U401"/>
    <mergeCell ref="B398:N398"/>
    <mergeCell ref="O398:S398"/>
    <mergeCell ref="T398:U398"/>
    <mergeCell ref="B399:N399"/>
    <mergeCell ref="O399:S399"/>
    <mergeCell ref="T399:U399"/>
    <mergeCell ref="B396:N396"/>
    <mergeCell ref="O396:S396"/>
    <mergeCell ref="T396:U396"/>
    <mergeCell ref="B397:N397"/>
    <mergeCell ref="O397:S397"/>
    <mergeCell ref="T397:U397"/>
    <mergeCell ref="B394:N394"/>
    <mergeCell ref="O394:S394"/>
    <mergeCell ref="T394:U394"/>
    <mergeCell ref="B395:N395"/>
    <mergeCell ref="O395:S395"/>
    <mergeCell ref="T395:U395"/>
    <mergeCell ref="B392:N392"/>
    <mergeCell ref="O392:S392"/>
    <mergeCell ref="T392:U392"/>
    <mergeCell ref="B393:N393"/>
    <mergeCell ref="O393:S393"/>
    <mergeCell ref="T393:U393"/>
    <mergeCell ref="B390:N390"/>
    <mergeCell ref="O390:S390"/>
    <mergeCell ref="T390:U390"/>
    <mergeCell ref="B391:N391"/>
    <mergeCell ref="O391:S391"/>
    <mergeCell ref="T391:U391"/>
    <mergeCell ref="B388:N388"/>
    <mergeCell ref="O388:S388"/>
    <mergeCell ref="T388:U388"/>
    <mergeCell ref="B389:N389"/>
    <mergeCell ref="O389:S389"/>
    <mergeCell ref="T389:U389"/>
    <mergeCell ref="B386:N386"/>
    <mergeCell ref="O386:S386"/>
    <mergeCell ref="T386:U386"/>
    <mergeCell ref="B387:N387"/>
    <mergeCell ref="O387:S387"/>
    <mergeCell ref="T387:U387"/>
    <mergeCell ref="B384:N384"/>
    <mergeCell ref="O384:S384"/>
    <mergeCell ref="T384:U384"/>
    <mergeCell ref="B385:N385"/>
    <mergeCell ref="O385:S385"/>
    <mergeCell ref="T385:U385"/>
    <mergeCell ref="B382:N382"/>
    <mergeCell ref="O382:S382"/>
    <mergeCell ref="T382:U382"/>
    <mergeCell ref="B383:N383"/>
    <mergeCell ref="O383:S383"/>
    <mergeCell ref="T383:U383"/>
    <mergeCell ref="B380:N380"/>
    <mergeCell ref="O380:S380"/>
    <mergeCell ref="T380:U380"/>
    <mergeCell ref="B381:N381"/>
    <mergeCell ref="O381:S381"/>
    <mergeCell ref="T381:U381"/>
    <mergeCell ref="B378:N378"/>
    <mergeCell ref="O378:S378"/>
    <mergeCell ref="T378:U378"/>
    <mergeCell ref="B379:N379"/>
    <mergeCell ref="O379:S379"/>
    <mergeCell ref="T379:U379"/>
    <mergeCell ref="B376:N376"/>
    <mergeCell ref="O376:S376"/>
    <mergeCell ref="T376:U376"/>
    <mergeCell ref="B377:N377"/>
    <mergeCell ref="O377:S377"/>
    <mergeCell ref="T377:U377"/>
    <mergeCell ref="B374:N374"/>
    <mergeCell ref="O374:S374"/>
    <mergeCell ref="T374:U374"/>
    <mergeCell ref="B375:N375"/>
    <mergeCell ref="O375:S375"/>
    <mergeCell ref="T375:U375"/>
    <mergeCell ref="B372:N372"/>
    <mergeCell ref="O372:S372"/>
    <mergeCell ref="T372:U372"/>
    <mergeCell ref="B373:N373"/>
    <mergeCell ref="O373:S373"/>
    <mergeCell ref="T373:U373"/>
    <mergeCell ref="B370:N370"/>
    <mergeCell ref="O370:S370"/>
    <mergeCell ref="T370:U370"/>
    <mergeCell ref="B371:N371"/>
    <mergeCell ref="O371:S371"/>
    <mergeCell ref="T371:U371"/>
    <mergeCell ref="B368:N368"/>
    <mergeCell ref="O368:S368"/>
    <mergeCell ref="T368:U368"/>
    <mergeCell ref="B369:N369"/>
    <mergeCell ref="O369:S369"/>
    <mergeCell ref="T369:U369"/>
    <mergeCell ref="B366:N366"/>
    <mergeCell ref="O366:S366"/>
    <mergeCell ref="T366:U366"/>
    <mergeCell ref="B367:N367"/>
    <mergeCell ref="O367:S367"/>
    <mergeCell ref="T367:U367"/>
    <mergeCell ref="B364:N364"/>
    <mergeCell ref="O364:S364"/>
    <mergeCell ref="T364:U364"/>
    <mergeCell ref="B365:N365"/>
    <mergeCell ref="O365:S365"/>
    <mergeCell ref="T365:U365"/>
    <mergeCell ref="B362:N362"/>
    <mergeCell ref="O362:S362"/>
    <mergeCell ref="T362:U362"/>
    <mergeCell ref="B363:N363"/>
    <mergeCell ref="O363:S363"/>
    <mergeCell ref="T363:U363"/>
    <mergeCell ref="B360:N360"/>
    <mergeCell ref="O360:S360"/>
    <mergeCell ref="T360:U360"/>
    <mergeCell ref="B361:N361"/>
    <mergeCell ref="O361:S361"/>
    <mergeCell ref="T361:U361"/>
    <mergeCell ref="B358:N358"/>
    <mergeCell ref="O358:S358"/>
    <mergeCell ref="T358:U358"/>
    <mergeCell ref="B359:N359"/>
    <mergeCell ref="O359:S359"/>
    <mergeCell ref="T359:U359"/>
    <mergeCell ref="B356:N356"/>
    <mergeCell ref="O356:S356"/>
    <mergeCell ref="T356:U356"/>
    <mergeCell ref="B357:N357"/>
    <mergeCell ref="O357:S357"/>
    <mergeCell ref="T357:U357"/>
    <mergeCell ref="B354:N354"/>
    <mergeCell ref="O354:S354"/>
    <mergeCell ref="T354:U354"/>
    <mergeCell ref="B355:N355"/>
    <mergeCell ref="O355:S355"/>
    <mergeCell ref="T355:U355"/>
    <mergeCell ref="B352:N352"/>
    <mergeCell ref="O352:S352"/>
    <mergeCell ref="T352:U352"/>
    <mergeCell ref="B353:N353"/>
    <mergeCell ref="O353:S353"/>
    <mergeCell ref="T353:U353"/>
    <mergeCell ref="B350:N350"/>
    <mergeCell ref="O350:S350"/>
    <mergeCell ref="T350:U350"/>
    <mergeCell ref="B351:N351"/>
    <mergeCell ref="O351:S351"/>
    <mergeCell ref="T351:U351"/>
    <mergeCell ref="B348:N348"/>
    <mergeCell ref="O348:S348"/>
    <mergeCell ref="T348:U348"/>
    <mergeCell ref="B349:N349"/>
    <mergeCell ref="O349:S349"/>
    <mergeCell ref="T349:U349"/>
    <mergeCell ref="B346:N346"/>
    <mergeCell ref="O346:S346"/>
    <mergeCell ref="T346:U346"/>
    <mergeCell ref="B347:N347"/>
    <mergeCell ref="O347:S347"/>
    <mergeCell ref="T347:U347"/>
    <mergeCell ref="B344:N344"/>
    <mergeCell ref="O344:S344"/>
    <mergeCell ref="T344:U344"/>
    <mergeCell ref="B345:N345"/>
    <mergeCell ref="O345:S345"/>
    <mergeCell ref="T345:U345"/>
    <mergeCell ref="B342:N342"/>
    <mergeCell ref="O342:S342"/>
    <mergeCell ref="T342:U342"/>
    <mergeCell ref="B343:N343"/>
    <mergeCell ref="O343:S343"/>
    <mergeCell ref="T343:U343"/>
    <mergeCell ref="B340:N340"/>
    <mergeCell ref="O340:S340"/>
    <mergeCell ref="T340:U340"/>
    <mergeCell ref="B341:N341"/>
    <mergeCell ref="O341:S341"/>
    <mergeCell ref="T341:U341"/>
    <mergeCell ref="B338:N338"/>
    <mergeCell ref="O338:S338"/>
    <mergeCell ref="T338:U338"/>
    <mergeCell ref="B339:N339"/>
    <mergeCell ref="O339:S339"/>
    <mergeCell ref="T339:U339"/>
    <mergeCell ref="B336:N336"/>
    <mergeCell ref="O336:S336"/>
    <mergeCell ref="T336:U336"/>
    <mergeCell ref="B337:N337"/>
    <mergeCell ref="O337:S337"/>
    <mergeCell ref="T337:U337"/>
    <mergeCell ref="B334:N334"/>
    <mergeCell ref="O334:S334"/>
    <mergeCell ref="T334:U334"/>
    <mergeCell ref="B335:N335"/>
    <mergeCell ref="O335:S335"/>
    <mergeCell ref="T335:U335"/>
    <mergeCell ref="B332:N332"/>
    <mergeCell ref="O332:S332"/>
    <mergeCell ref="T332:U332"/>
    <mergeCell ref="B333:N333"/>
    <mergeCell ref="O333:S333"/>
    <mergeCell ref="T333:U333"/>
    <mergeCell ref="B330:N330"/>
    <mergeCell ref="O330:S330"/>
    <mergeCell ref="T330:U330"/>
    <mergeCell ref="B331:N331"/>
    <mergeCell ref="O331:S331"/>
    <mergeCell ref="T331:U331"/>
    <mergeCell ref="B328:N328"/>
    <mergeCell ref="O328:S328"/>
    <mergeCell ref="T328:U328"/>
    <mergeCell ref="B329:N329"/>
    <mergeCell ref="O329:S329"/>
    <mergeCell ref="T329:U329"/>
    <mergeCell ref="B326:N326"/>
    <mergeCell ref="O326:S326"/>
    <mergeCell ref="T326:U326"/>
    <mergeCell ref="B327:N327"/>
    <mergeCell ref="O327:S327"/>
    <mergeCell ref="T327:U327"/>
    <mergeCell ref="B324:N324"/>
    <mergeCell ref="O324:S324"/>
    <mergeCell ref="T324:U324"/>
    <mergeCell ref="B325:N325"/>
    <mergeCell ref="O325:S325"/>
    <mergeCell ref="T325:U325"/>
    <mergeCell ref="B322:N322"/>
    <mergeCell ref="O322:S322"/>
    <mergeCell ref="T322:U322"/>
    <mergeCell ref="B323:N323"/>
    <mergeCell ref="O323:S323"/>
    <mergeCell ref="T323:U323"/>
    <mergeCell ref="B320:N320"/>
    <mergeCell ref="O320:S320"/>
    <mergeCell ref="T320:U320"/>
    <mergeCell ref="B321:N321"/>
    <mergeCell ref="O321:S321"/>
    <mergeCell ref="T321:U321"/>
    <mergeCell ref="B318:N318"/>
    <mergeCell ref="O318:S318"/>
    <mergeCell ref="T318:U318"/>
    <mergeCell ref="B319:N319"/>
    <mergeCell ref="O319:S319"/>
    <mergeCell ref="T319:U319"/>
    <mergeCell ref="B316:N316"/>
    <mergeCell ref="O316:S316"/>
    <mergeCell ref="T316:U316"/>
    <mergeCell ref="B317:N317"/>
    <mergeCell ref="O317:S317"/>
    <mergeCell ref="T317:U317"/>
    <mergeCell ref="B314:N314"/>
    <mergeCell ref="O314:S314"/>
    <mergeCell ref="T314:U314"/>
    <mergeCell ref="B315:N315"/>
    <mergeCell ref="O315:S315"/>
    <mergeCell ref="T315:U315"/>
    <mergeCell ref="B312:N312"/>
    <mergeCell ref="O312:S312"/>
    <mergeCell ref="T312:U312"/>
    <mergeCell ref="B313:N313"/>
    <mergeCell ref="O313:S313"/>
    <mergeCell ref="T313:U313"/>
    <mergeCell ref="B310:N310"/>
    <mergeCell ref="O310:S310"/>
    <mergeCell ref="T310:U310"/>
    <mergeCell ref="B311:N311"/>
    <mergeCell ref="O311:S311"/>
    <mergeCell ref="T311:U311"/>
    <mergeCell ref="B308:N308"/>
    <mergeCell ref="O308:S308"/>
    <mergeCell ref="T308:U308"/>
    <mergeCell ref="B309:N309"/>
    <mergeCell ref="O309:S309"/>
    <mergeCell ref="T309:U309"/>
    <mergeCell ref="B306:N306"/>
    <mergeCell ref="O306:S306"/>
    <mergeCell ref="T306:U306"/>
    <mergeCell ref="B307:N307"/>
    <mergeCell ref="O307:S307"/>
    <mergeCell ref="T307:U307"/>
    <mergeCell ref="B304:N304"/>
    <mergeCell ref="O304:S304"/>
    <mergeCell ref="T304:U304"/>
    <mergeCell ref="B305:N305"/>
    <mergeCell ref="O305:S305"/>
    <mergeCell ref="T305:U305"/>
    <mergeCell ref="B302:N302"/>
    <mergeCell ref="O302:S302"/>
    <mergeCell ref="T302:U302"/>
    <mergeCell ref="B303:N303"/>
    <mergeCell ref="O303:S303"/>
    <mergeCell ref="T303:U303"/>
    <mergeCell ref="B300:N300"/>
    <mergeCell ref="O300:S300"/>
    <mergeCell ref="T300:U300"/>
    <mergeCell ref="B301:N301"/>
    <mergeCell ref="O301:S301"/>
    <mergeCell ref="T301:U301"/>
    <mergeCell ref="B298:N298"/>
    <mergeCell ref="O298:S298"/>
    <mergeCell ref="T298:U298"/>
    <mergeCell ref="B299:N299"/>
    <mergeCell ref="O299:S299"/>
    <mergeCell ref="T299:U299"/>
    <mergeCell ref="B296:N296"/>
    <mergeCell ref="O296:S296"/>
    <mergeCell ref="T296:U296"/>
    <mergeCell ref="B297:N297"/>
    <mergeCell ref="O297:S297"/>
    <mergeCell ref="T297:U297"/>
    <mergeCell ref="B294:N294"/>
    <mergeCell ref="O294:S294"/>
    <mergeCell ref="T294:U294"/>
    <mergeCell ref="B295:N295"/>
    <mergeCell ref="O295:S295"/>
    <mergeCell ref="T295:U295"/>
    <mergeCell ref="B292:N292"/>
    <mergeCell ref="O292:S292"/>
    <mergeCell ref="T292:U292"/>
    <mergeCell ref="B293:N293"/>
    <mergeCell ref="O293:S293"/>
    <mergeCell ref="T293:U293"/>
    <mergeCell ref="B290:N290"/>
    <mergeCell ref="O290:S290"/>
    <mergeCell ref="T290:U290"/>
    <mergeCell ref="B291:N291"/>
    <mergeCell ref="O291:S291"/>
    <mergeCell ref="T291:U291"/>
    <mergeCell ref="B288:N288"/>
    <mergeCell ref="O288:S288"/>
    <mergeCell ref="T288:U288"/>
    <mergeCell ref="B289:N289"/>
    <mergeCell ref="O289:S289"/>
    <mergeCell ref="T289:U289"/>
    <mergeCell ref="B286:N286"/>
    <mergeCell ref="O286:S286"/>
    <mergeCell ref="T286:U286"/>
    <mergeCell ref="B287:N287"/>
    <mergeCell ref="O287:S287"/>
    <mergeCell ref="T287:U287"/>
    <mergeCell ref="B284:N284"/>
    <mergeCell ref="O284:S284"/>
    <mergeCell ref="T284:U284"/>
    <mergeCell ref="B285:N285"/>
    <mergeCell ref="O285:S285"/>
    <mergeCell ref="T285:U285"/>
    <mergeCell ref="B282:N282"/>
    <mergeCell ref="O282:S282"/>
    <mergeCell ref="T282:U282"/>
    <mergeCell ref="B283:N283"/>
    <mergeCell ref="O283:S283"/>
    <mergeCell ref="T283:U283"/>
    <mergeCell ref="B280:N280"/>
    <mergeCell ref="O280:S280"/>
    <mergeCell ref="T280:U280"/>
    <mergeCell ref="B281:N281"/>
    <mergeCell ref="O281:S281"/>
    <mergeCell ref="T281:U281"/>
    <mergeCell ref="B278:N278"/>
    <mergeCell ref="O278:S278"/>
    <mergeCell ref="T278:U278"/>
    <mergeCell ref="B279:N279"/>
    <mergeCell ref="O279:S279"/>
    <mergeCell ref="T279:U279"/>
    <mergeCell ref="B276:N276"/>
    <mergeCell ref="O276:S276"/>
    <mergeCell ref="T276:U276"/>
    <mergeCell ref="B277:N277"/>
    <mergeCell ref="O277:S277"/>
    <mergeCell ref="T277:U277"/>
    <mergeCell ref="B274:N274"/>
    <mergeCell ref="O274:S274"/>
    <mergeCell ref="T274:U274"/>
    <mergeCell ref="B275:N275"/>
    <mergeCell ref="O275:S275"/>
    <mergeCell ref="T275:U275"/>
    <mergeCell ref="B272:N272"/>
    <mergeCell ref="O272:S272"/>
    <mergeCell ref="T272:U272"/>
    <mergeCell ref="B273:N273"/>
    <mergeCell ref="O273:S273"/>
    <mergeCell ref="T273:U273"/>
    <mergeCell ref="B270:N270"/>
    <mergeCell ref="O270:S270"/>
    <mergeCell ref="T270:U270"/>
    <mergeCell ref="B271:N271"/>
    <mergeCell ref="O271:S271"/>
    <mergeCell ref="T271:U271"/>
    <mergeCell ref="B268:N268"/>
    <mergeCell ref="O268:S268"/>
    <mergeCell ref="T268:U268"/>
    <mergeCell ref="B269:N269"/>
    <mergeCell ref="O269:S269"/>
    <mergeCell ref="T269:U269"/>
    <mergeCell ref="B266:N266"/>
    <mergeCell ref="O266:S266"/>
    <mergeCell ref="T266:U266"/>
    <mergeCell ref="B267:N267"/>
    <mergeCell ref="O267:S267"/>
    <mergeCell ref="T267:U267"/>
    <mergeCell ref="B264:N264"/>
    <mergeCell ref="O264:S264"/>
    <mergeCell ref="T264:U264"/>
    <mergeCell ref="B265:N265"/>
    <mergeCell ref="O265:S265"/>
    <mergeCell ref="T265:U265"/>
    <mergeCell ref="B262:N262"/>
    <mergeCell ref="O262:S262"/>
    <mergeCell ref="T262:U262"/>
    <mergeCell ref="B263:N263"/>
    <mergeCell ref="O263:S263"/>
    <mergeCell ref="T263:U263"/>
    <mergeCell ref="B260:N260"/>
    <mergeCell ref="O260:S260"/>
    <mergeCell ref="T260:U260"/>
    <mergeCell ref="B261:N261"/>
    <mergeCell ref="O261:S261"/>
    <mergeCell ref="T261:U261"/>
    <mergeCell ref="B258:N258"/>
    <mergeCell ref="O258:S258"/>
    <mergeCell ref="T258:U258"/>
    <mergeCell ref="B259:N259"/>
    <mergeCell ref="O259:S259"/>
    <mergeCell ref="T259:U259"/>
    <mergeCell ref="B256:N256"/>
    <mergeCell ref="O256:S256"/>
    <mergeCell ref="T256:U256"/>
    <mergeCell ref="B257:N257"/>
    <mergeCell ref="O257:S257"/>
    <mergeCell ref="T257:U257"/>
    <mergeCell ref="B254:N254"/>
    <mergeCell ref="O254:S254"/>
    <mergeCell ref="T254:U254"/>
    <mergeCell ref="B255:N255"/>
    <mergeCell ref="O255:S255"/>
    <mergeCell ref="T255:U255"/>
    <mergeCell ref="B252:N252"/>
    <mergeCell ref="O252:S252"/>
    <mergeCell ref="T252:U252"/>
    <mergeCell ref="B253:N253"/>
    <mergeCell ref="O253:S253"/>
    <mergeCell ref="T253:U253"/>
    <mergeCell ref="B250:N250"/>
    <mergeCell ref="O250:S250"/>
    <mergeCell ref="T250:U250"/>
    <mergeCell ref="B251:N251"/>
    <mergeCell ref="O251:S251"/>
    <mergeCell ref="T251:U251"/>
    <mergeCell ref="B248:N248"/>
    <mergeCell ref="O248:S248"/>
    <mergeCell ref="T248:U248"/>
    <mergeCell ref="B249:N249"/>
    <mergeCell ref="O249:S249"/>
    <mergeCell ref="T249:U249"/>
    <mergeCell ref="B246:N246"/>
    <mergeCell ref="O246:S246"/>
    <mergeCell ref="T246:U246"/>
    <mergeCell ref="B247:N247"/>
    <mergeCell ref="O247:S247"/>
    <mergeCell ref="T247:U247"/>
    <mergeCell ref="B244:N244"/>
    <mergeCell ref="O244:S244"/>
    <mergeCell ref="T244:U244"/>
    <mergeCell ref="B245:N245"/>
    <mergeCell ref="O245:S245"/>
    <mergeCell ref="T245:U245"/>
    <mergeCell ref="B242:N242"/>
    <mergeCell ref="O242:S242"/>
    <mergeCell ref="T242:U242"/>
    <mergeCell ref="B243:N243"/>
    <mergeCell ref="O243:S243"/>
    <mergeCell ref="T243:U243"/>
    <mergeCell ref="B240:N240"/>
    <mergeCell ref="O240:S240"/>
    <mergeCell ref="T240:U240"/>
    <mergeCell ref="B241:N241"/>
    <mergeCell ref="O241:S241"/>
    <mergeCell ref="T241:U241"/>
    <mergeCell ref="B238:N238"/>
    <mergeCell ref="O238:S238"/>
    <mergeCell ref="T238:U238"/>
    <mergeCell ref="B239:N239"/>
    <mergeCell ref="O239:S239"/>
    <mergeCell ref="T239:U239"/>
    <mergeCell ref="B236:N236"/>
    <mergeCell ref="O236:S236"/>
    <mergeCell ref="T236:U236"/>
    <mergeCell ref="B237:N237"/>
    <mergeCell ref="O237:S237"/>
    <mergeCell ref="T237:U237"/>
    <mergeCell ref="B234:N234"/>
    <mergeCell ref="O234:S234"/>
    <mergeCell ref="T234:U234"/>
    <mergeCell ref="B235:N235"/>
    <mergeCell ref="O235:S235"/>
    <mergeCell ref="T235:U235"/>
    <mergeCell ref="B232:N232"/>
    <mergeCell ref="O232:S232"/>
    <mergeCell ref="T232:U232"/>
    <mergeCell ref="B233:N233"/>
    <mergeCell ref="O233:S233"/>
    <mergeCell ref="T233:U233"/>
    <mergeCell ref="B230:N230"/>
    <mergeCell ref="O230:S230"/>
    <mergeCell ref="T230:U230"/>
    <mergeCell ref="B231:N231"/>
    <mergeCell ref="O231:S231"/>
    <mergeCell ref="T231:U231"/>
    <mergeCell ref="B228:N228"/>
    <mergeCell ref="O228:S228"/>
    <mergeCell ref="T228:U228"/>
    <mergeCell ref="B229:N229"/>
    <mergeCell ref="O229:S229"/>
    <mergeCell ref="T229:U229"/>
    <mergeCell ref="B226:N226"/>
    <mergeCell ref="O226:S226"/>
    <mergeCell ref="T226:U226"/>
    <mergeCell ref="B227:N227"/>
    <mergeCell ref="O227:S227"/>
    <mergeCell ref="T227:U227"/>
    <mergeCell ref="B224:N224"/>
    <mergeCell ref="O224:S224"/>
    <mergeCell ref="T224:U224"/>
    <mergeCell ref="B225:N225"/>
    <mergeCell ref="O225:S225"/>
    <mergeCell ref="T225:U225"/>
    <mergeCell ref="B222:N222"/>
    <mergeCell ref="O222:S222"/>
    <mergeCell ref="T222:U222"/>
    <mergeCell ref="B223:N223"/>
    <mergeCell ref="O223:S223"/>
    <mergeCell ref="T223:U223"/>
    <mergeCell ref="B220:N220"/>
    <mergeCell ref="O220:S220"/>
    <mergeCell ref="T220:U220"/>
    <mergeCell ref="B221:N221"/>
    <mergeCell ref="O221:S221"/>
    <mergeCell ref="T221:U221"/>
    <mergeCell ref="B218:N218"/>
    <mergeCell ref="O218:S218"/>
    <mergeCell ref="T218:U218"/>
    <mergeCell ref="B219:N219"/>
    <mergeCell ref="O219:S219"/>
    <mergeCell ref="T219:U219"/>
    <mergeCell ref="B216:N216"/>
    <mergeCell ref="O216:S216"/>
    <mergeCell ref="T216:U216"/>
    <mergeCell ref="B217:N217"/>
    <mergeCell ref="O217:S217"/>
    <mergeCell ref="T217:U217"/>
    <mergeCell ref="B214:N214"/>
    <mergeCell ref="O214:S214"/>
    <mergeCell ref="T214:U214"/>
    <mergeCell ref="B215:N215"/>
    <mergeCell ref="O215:S215"/>
    <mergeCell ref="T215:U215"/>
    <mergeCell ref="B212:N212"/>
    <mergeCell ref="O212:S212"/>
    <mergeCell ref="T212:U212"/>
    <mergeCell ref="B213:N213"/>
    <mergeCell ref="O213:S213"/>
    <mergeCell ref="T213:U213"/>
    <mergeCell ref="B210:N210"/>
    <mergeCell ref="O210:S210"/>
    <mergeCell ref="T210:U210"/>
    <mergeCell ref="B211:N211"/>
    <mergeCell ref="O211:S211"/>
    <mergeCell ref="T211:U211"/>
    <mergeCell ref="B208:N208"/>
    <mergeCell ref="O208:S208"/>
    <mergeCell ref="T208:U208"/>
    <mergeCell ref="B209:N209"/>
    <mergeCell ref="O209:S209"/>
    <mergeCell ref="T209:U209"/>
    <mergeCell ref="B206:N206"/>
    <mergeCell ref="O206:S206"/>
    <mergeCell ref="T206:U206"/>
    <mergeCell ref="B207:N207"/>
    <mergeCell ref="O207:S207"/>
    <mergeCell ref="T207:U207"/>
    <mergeCell ref="B204:N204"/>
    <mergeCell ref="O204:S204"/>
    <mergeCell ref="T204:U204"/>
    <mergeCell ref="B205:N205"/>
    <mergeCell ref="O205:S205"/>
    <mergeCell ref="T205:U205"/>
    <mergeCell ref="B202:N202"/>
    <mergeCell ref="O202:S202"/>
    <mergeCell ref="T202:U202"/>
    <mergeCell ref="B203:N203"/>
    <mergeCell ref="O203:S203"/>
    <mergeCell ref="T203:U203"/>
    <mergeCell ref="B200:N200"/>
    <mergeCell ref="O200:S200"/>
    <mergeCell ref="T200:U200"/>
    <mergeCell ref="B201:N201"/>
    <mergeCell ref="O201:S201"/>
    <mergeCell ref="T201:U201"/>
    <mergeCell ref="B198:N198"/>
    <mergeCell ref="O198:S198"/>
    <mergeCell ref="T198:U198"/>
    <mergeCell ref="B199:N199"/>
    <mergeCell ref="O199:S199"/>
    <mergeCell ref="T199:U199"/>
    <mergeCell ref="B196:N196"/>
    <mergeCell ref="O196:S196"/>
    <mergeCell ref="T196:U196"/>
    <mergeCell ref="B197:N197"/>
    <mergeCell ref="O197:S197"/>
    <mergeCell ref="T197:U197"/>
    <mergeCell ref="B194:N194"/>
    <mergeCell ref="O194:S194"/>
    <mergeCell ref="T194:U194"/>
    <mergeCell ref="B195:N195"/>
    <mergeCell ref="O195:S195"/>
    <mergeCell ref="T195:U195"/>
    <mergeCell ref="B192:N192"/>
    <mergeCell ref="O192:S192"/>
    <mergeCell ref="T192:U192"/>
    <mergeCell ref="B193:N193"/>
    <mergeCell ref="O193:S193"/>
    <mergeCell ref="T193:U193"/>
    <mergeCell ref="B190:N190"/>
    <mergeCell ref="O190:S190"/>
    <mergeCell ref="T190:U190"/>
    <mergeCell ref="B191:N191"/>
    <mergeCell ref="O191:S191"/>
    <mergeCell ref="T191:U191"/>
    <mergeCell ref="B188:N188"/>
    <mergeCell ref="O188:S188"/>
    <mergeCell ref="T188:U188"/>
    <mergeCell ref="B189:N189"/>
    <mergeCell ref="O189:S189"/>
    <mergeCell ref="T189:U189"/>
    <mergeCell ref="B186:N186"/>
    <mergeCell ref="O186:S186"/>
    <mergeCell ref="T186:U186"/>
    <mergeCell ref="B187:N187"/>
    <mergeCell ref="O187:S187"/>
    <mergeCell ref="T187:U187"/>
    <mergeCell ref="B184:N184"/>
    <mergeCell ref="O184:S184"/>
    <mergeCell ref="T184:U184"/>
    <mergeCell ref="B185:N185"/>
    <mergeCell ref="O185:S185"/>
    <mergeCell ref="T185:U185"/>
    <mergeCell ref="B182:N182"/>
    <mergeCell ref="O182:S182"/>
    <mergeCell ref="T182:U182"/>
    <mergeCell ref="B183:N183"/>
    <mergeCell ref="O183:S183"/>
    <mergeCell ref="T183:U183"/>
    <mergeCell ref="B180:N180"/>
    <mergeCell ref="O180:S180"/>
    <mergeCell ref="T180:U180"/>
    <mergeCell ref="B181:N181"/>
    <mergeCell ref="O181:S181"/>
    <mergeCell ref="T181:U181"/>
    <mergeCell ref="B178:N178"/>
    <mergeCell ref="O178:S178"/>
    <mergeCell ref="T178:U178"/>
    <mergeCell ref="B179:N179"/>
    <mergeCell ref="O179:S179"/>
    <mergeCell ref="T179:U179"/>
    <mergeCell ref="B176:N176"/>
    <mergeCell ref="O176:S176"/>
    <mergeCell ref="T176:U176"/>
    <mergeCell ref="B177:N177"/>
    <mergeCell ref="O177:S177"/>
    <mergeCell ref="T177:U177"/>
    <mergeCell ref="B174:N174"/>
    <mergeCell ref="O174:S174"/>
    <mergeCell ref="T174:U174"/>
    <mergeCell ref="B175:N175"/>
    <mergeCell ref="O175:S175"/>
    <mergeCell ref="T175:U175"/>
    <mergeCell ref="B172:N172"/>
    <mergeCell ref="O172:S172"/>
    <mergeCell ref="T172:U172"/>
    <mergeCell ref="B173:N173"/>
    <mergeCell ref="O173:S173"/>
    <mergeCell ref="T173:U173"/>
    <mergeCell ref="B170:N170"/>
    <mergeCell ref="O170:S170"/>
    <mergeCell ref="T170:U170"/>
    <mergeCell ref="B171:N171"/>
    <mergeCell ref="O171:S171"/>
    <mergeCell ref="T171:U171"/>
    <mergeCell ref="B168:N168"/>
    <mergeCell ref="O168:S168"/>
    <mergeCell ref="T168:U168"/>
    <mergeCell ref="B169:N169"/>
    <mergeCell ref="O169:S169"/>
    <mergeCell ref="T169:U169"/>
    <mergeCell ref="B166:N166"/>
    <mergeCell ref="O166:S166"/>
    <mergeCell ref="T166:U166"/>
    <mergeCell ref="B167:N167"/>
    <mergeCell ref="O167:S167"/>
    <mergeCell ref="T167:U167"/>
    <mergeCell ref="B164:N164"/>
    <mergeCell ref="O164:S164"/>
    <mergeCell ref="T164:U164"/>
    <mergeCell ref="B165:N165"/>
    <mergeCell ref="O165:S165"/>
    <mergeCell ref="T165:U165"/>
    <mergeCell ref="B162:N162"/>
    <mergeCell ref="O162:S162"/>
    <mergeCell ref="T162:U162"/>
    <mergeCell ref="B163:N163"/>
    <mergeCell ref="O163:S163"/>
    <mergeCell ref="T163:U163"/>
    <mergeCell ref="B160:N160"/>
    <mergeCell ref="O160:S160"/>
    <mergeCell ref="T160:U160"/>
    <mergeCell ref="B161:N161"/>
    <mergeCell ref="O161:S161"/>
    <mergeCell ref="T161:U161"/>
    <mergeCell ref="B158:N158"/>
    <mergeCell ref="O158:S158"/>
    <mergeCell ref="T158:U158"/>
    <mergeCell ref="B159:N159"/>
    <mergeCell ref="O159:S159"/>
    <mergeCell ref="T159:U159"/>
    <mergeCell ref="B156:N156"/>
    <mergeCell ref="O156:S156"/>
    <mergeCell ref="T156:U156"/>
    <mergeCell ref="B157:N157"/>
    <mergeCell ref="O157:S157"/>
    <mergeCell ref="T157:U157"/>
    <mergeCell ref="B154:N154"/>
    <mergeCell ref="O154:S154"/>
    <mergeCell ref="T154:U154"/>
    <mergeCell ref="B155:N155"/>
    <mergeCell ref="O155:S155"/>
    <mergeCell ref="T155:U155"/>
    <mergeCell ref="B152:N152"/>
    <mergeCell ref="O152:S152"/>
    <mergeCell ref="T152:U152"/>
    <mergeCell ref="B153:N153"/>
    <mergeCell ref="O153:S153"/>
    <mergeCell ref="T153:U153"/>
    <mergeCell ref="B150:N150"/>
    <mergeCell ref="O150:S150"/>
    <mergeCell ref="T150:U150"/>
    <mergeCell ref="B151:N151"/>
    <mergeCell ref="O151:S151"/>
    <mergeCell ref="T151:U151"/>
    <mergeCell ref="B148:N148"/>
    <mergeCell ref="O148:S148"/>
    <mergeCell ref="T148:U148"/>
    <mergeCell ref="B149:N149"/>
    <mergeCell ref="O149:S149"/>
    <mergeCell ref="T149:U149"/>
    <mergeCell ref="B146:N146"/>
    <mergeCell ref="O146:S146"/>
    <mergeCell ref="T146:U146"/>
    <mergeCell ref="B147:N147"/>
    <mergeCell ref="O147:S147"/>
    <mergeCell ref="T147:U147"/>
    <mergeCell ref="B144:N144"/>
    <mergeCell ref="O144:S144"/>
    <mergeCell ref="T144:U144"/>
    <mergeCell ref="B145:N145"/>
    <mergeCell ref="O145:S145"/>
    <mergeCell ref="T145:U145"/>
    <mergeCell ref="B142:N142"/>
    <mergeCell ref="O142:S142"/>
    <mergeCell ref="T142:U142"/>
    <mergeCell ref="B143:N143"/>
    <mergeCell ref="O143:S143"/>
    <mergeCell ref="T143:U143"/>
    <mergeCell ref="B140:N140"/>
    <mergeCell ref="O140:S140"/>
    <mergeCell ref="T140:U140"/>
    <mergeCell ref="B141:N141"/>
    <mergeCell ref="O141:S141"/>
    <mergeCell ref="T141:U141"/>
    <mergeCell ref="B138:N138"/>
    <mergeCell ref="O138:S138"/>
    <mergeCell ref="T138:U138"/>
    <mergeCell ref="B139:N139"/>
    <mergeCell ref="O139:S139"/>
    <mergeCell ref="T139:U139"/>
    <mergeCell ref="B136:N136"/>
    <mergeCell ref="O136:S136"/>
    <mergeCell ref="T136:U136"/>
    <mergeCell ref="B137:N137"/>
    <mergeCell ref="O137:S137"/>
    <mergeCell ref="T137:U137"/>
    <mergeCell ref="B134:N134"/>
    <mergeCell ref="O134:S134"/>
    <mergeCell ref="T134:U134"/>
    <mergeCell ref="B135:N135"/>
    <mergeCell ref="O135:S135"/>
    <mergeCell ref="T135:U135"/>
    <mergeCell ref="B132:N132"/>
    <mergeCell ref="O132:S132"/>
    <mergeCell ref="T132:U132"/>
    <mergeCell ref="B133:N133"/>
    <mergeCell ref="O133:S133"/>
    <mergeCell ref="T133:U133"/>
    <mergeCell ref="B130:N130"/>
    <mergeCell ref="O130:S130"/>
    <mergeCell ref="T130:U130"/>
    <mergeCell ref="B131:N131"/>
    <mergeCell ref="O131:S131"/>
    <mergeCell ref="T131:U131"/>
    <mergeCell ref="B128:N128"/>
    <mergeCell ref="O128:S128"/>
    <mergeCell ref="T128:U128"/>
    <mergeCell ref="B129:N129"/>
    <mergeCell ref="O129:S129"/>
    <mergeCell ref="T129:U129"/>
    <mergeCell ref="B126:N126"/>
    <mergeCell ref="O126:S126"/>
    <mergeCell ref="T126:U126"/>
    <mergeCell ref="B127:N127"/>
    <mergeCell ref="O127:S127"/>
    <mergeCell ref="T127:U127"/>
    <mergeCell ref="B124:N124"/>
    <mergeCell ref="O124:S124"/>
    <mergeCell ref="T124:U124"/>
    <mergeCell ref="B125:N125"/>
    <mergeCell ref="O125:S125"/>
    <mergeCell ref="T125:U125"/>
    <mergeCell ref="B122:N122"/>
    <mergeCell ref="O122:S122"/>
    <mergeCell ref="T122:U122"/>
    <mergeCell ref="B123:N123"/>
    <mergeCell ref="O123:S123"/>
    <mergeCell ref="T123:U123"/>
    <mergeCell ref="B120:N120"/>
    <mergeCell ref="O120:S120"/>
    <mergeCell ref="T120:U120"/>
    <mergeCell ref="B121:N121"/>
    <mergeCell ref="O121:S121"/>
    <mergeCell ref="T121:U121"/>
    <mergeCell ref="B118:N118"/>
    <mergeCell ref="O118:S118"/>
    <mergeCell ref="T118:U118"/>
    <mergeCell ref="B119:N119"/>
    <mergeCell ref="O119:S119"/>
    <mergeCell ref="T119:U119"/>
    <mergeCell ref="B116:N116"/>
    <mergeCell ref="O116:S116"/>
    <mergeCell ref="T116:U116"/>
    <mergeCell ref="B117:N117"/>
    <mergeCell ref="O117:S117"/>
    <mergeCell ref="T117:U117"/>
    <mergeCell ref="B114:N114"/>
    <mergeCell ref="O114:S114"/>
    <mergeCell ref="T114:U114"/>
    <mergeCell ref="B115:N115"/>
    <mergeCell ref="O115:S115"/>
    <mergeCell ref="T115:U115"/>
    <mergeCell ref="B112:N112"/>
    <mergeCell ref="O112:S112"/>
    <mergeCell ref="T112:U112"/>
    <mergeCell ref="B113:N113"/>
    <mergeCell ref="O113:S113"/>
    <mergeCell ref="T113:U113"/>
    <mergeCell ref="B110:N110"/>
    <mergeCell ref="O110:S110"/>
    <mergeCell ref="T110:U110"/>
    <mergeCell ref="B111:N111"/>
    <mergeCell ref="O111:S111"/>
    <mergeCell ref="T111:U111"/>
    <mergeCell ref="B108:N108"/>
    <mergeCell ref="O108:S108"/>
    <mergeCell ref="T108:U108"/>
    <mergeCell ref="B109:N109"/>
    <mergeCell ref="O109:S109"/>
    <mergeCell ref="T109:U109"/>
    <mergeCell ref="B106:N106"/>
    <mergeCell ref="O106:S106"/>
    <mergeCell ref="T106:U106"/>
    <mergeCell ref="B107:N107"/>
    <mergeCell ref="O107:S107"/>
    <mergeCell ref="T107:U107"/>
    <mergeCell ref="B104:N104"/>
    <mergeCell ref="O104:S104"/>
    <mergeCell ref="T104:U104"/>
    <mergeCell ref="B105:N105"/>
    <mergeCell ref="O105:S105"/>
    <mergeCell ref="T105:U105"/>
    <mergeCell ref="B102:N102"/>
    <mergeCell ref="O102:S102"/>
    <mergeCell ref="T102:U102"/>
    <mergeCell ref="B103:N103"/>
    <mergeCell ref="O103:S103"/>
    <mergeCell ref="T103:U103"/>
    <mergeCell ref="B100:N100"/>
    <mergeCell ref="O100:S100"/>
    <mergeCell ref="T100:U100"/>
    <mergeCell ref="B101:N101"/>
    <mergeCell ref="O101:S101"/>
    <mergeCell ref="T101:U101"/>
    <mergeCell ref="B98:N98"/>
    <mergeCell ref="O98:S98"/>
    <mergeCell ref="T98:U98"/>
    <mergeCell ref="B99:N99"/>
    <mergeCell ref="O99:S99"/>
    <mergeCell ref="T99:U99"/>
    <mergeCell ref="B96:N96"/>
    <mergeCell ref="O96:S96"/>
    <mergeCell ref="T96:U96"/>
    <mergeCell ref="B97:N97"/>
    <mergeCell ref="O97:S97"/>
    <mergeCell ref="T97:U97"/>
    <mergeCell ref="B94:N94"/>
    <mergeCell ref="O94:S94"/>
    <mergeCell ref="T94:U94"/>
    <mergeCell ref="B95:N95"/>
    <mergeCell ref="O95:S95"/>
    <mergeCell ref="T95:U95"/>
    <mergeCell ref="B92:N92"/>
    <mergeCell ref="O92:S92"/>
    <mergeCell ref="T92:U92"/>
    <mergeCell ref="B93:N93"/>
    <mergeCell ref="O93:S93"/>
    <mergeCell ref="T93:U93"/>
    <mergeCell ref="B90:N90"/>
    <mergeCell ref="O90:S90"/>
    <mergeCell ref="T90:U90"/>
    <mergeCell ref="B91:N91"/>
    <mergeCell ref="O91:S91"/>
    <mergeCell ref="T91:U91"/>
    <mergeCell ref="B88:N88"/>
    <mergeCell ref="O88:S88"/>
    <mergeCell ref="T88:U88"/>
    <mergeCell ref="B89:N89"/>
    <mergeCell ref="O89:S89"/>
    <mergeCell ref="T89:U89"/>
    <mergeCell ref="B86:N86"/>
    <mergeCell ref="O86:S86"/>
    <mergeCell ref="T86:U86"/>
    <mergeCell ref="B87:N87"/>
    <mergeCell ref="O87:S87"/>
    <mergeCell ref="T87:U87"/>
    <mergeCell ref="B84:N84"/>
    <mergeCell ref="O84:S84"/>
    <mergeCell ref="T84:U84"/>
    <mergeCell ref="B85:N85"/>
    <mergeCell ref="O85:S85"/>
    <mergeCell ref="T85:U85"/>
    <mergeCell ref="B82:N82"/>
    <mergeCell ref="O82:S82"/>
    <mergeCell ref="T82:U82"/>
    <mergeCell ref="B83:N83"/>
    <mergeCell ref="O83:S83"/>
    <mergeCell ref="T83:U83"/>
    <mergeCell ref="B80:N80"/>
    <mergeCell ref="O80:S80"/>
    <mergeCell ref="T80:U80"/>
    <mergeCell ref="B81:N81"/>
    <mergeCell ref="O81:S81"/>
    <mergeCell ref="T81:U81"/>
    <mergeCell ref="B78:N78"/>
    <mergeCell ref="O78:S78"/>
    <mergeCell ref="T78:U78"/>
    <mergeCell ref="B79:N79"/>
    <mergeCell ref="O79:S79"/>
    <mergeCell ref="T79:U79"/>
    <mergeCell ref="B76:N76"/>
    <mergeCell ref="O76:S76"/>
    <mergeCell ref="T76:U76"/>
    <mergeCell ref="B77:N77"/>
    <mergeCell ref="O77:S77"/>
    <mergeCell ref="T77:U77"/>
    <mergeCell ref="B74:N74"/>
    <mergeCell ref="O74:S74"/>
    <mergeCell ref="T74:U74"/>
    <mergeCell ref="B75:N75"/>
    <mergeCell ref="O75:S75"/>
    <mergeCell ref="T75:U75"/>
    <mergeCell ref="B72:N72"/>
    <mergeCell ref="O72:S72"/>
    <mergeCell ref="T72:U72"/>
    <mergeCell ref="B73:N73"/>
    <mergeCell ref="O73:S73"/>
    <mergeCell ref="T73:U73"/>
    <mergeCell ref="B70:N70"/>
    <mergeCell ref="O70:S70"/>
    <mergeCell ref="T70:U70"/>
    <mergeCell ref="B71:N71"/>
    <mergeCell ref="O71:S71"/>
    <mergeCell ref="T71:U71"/>
    <mergeCell ref="B68:N68"/>
    <mergeCell ref="O68:S68"/>
    <mergeCell ref="T68:U68"/>
    <mergeCell ref="B69:N69"/>
    <mergeCell ref="O69:S69"/>
    <mergeCell ref="T69:U69"/>
    <mergeCell ref="B66:N66"/>
    <mergeCell ref="O66:S66"/>
    <mergeCell ref="T66:U66"/>
    <mergeCell ref="B67:N67"/>
    <mergeCell ref="O67:S67"/>
    <mergeCell ref="T67:U67"/>
    <mergeCell ref="B64:N64"/>
    <mergeCell ref="O64:S64"/>
    <mergeCell ref="T64:U64"/>
    <mergeCell ref="B65:N65"/>
    <mergeCell ref="O65:S65"/>
    <mergeCell ref="T65:U65"/>
    <mergeCell ref="B62:N62"/>
    <mergeCell ref="O62:S62"/>
    <mergeCell ref="T62:U62"/>
    <mergeCell ref="B63:N63"/>
    <mergeCell ref="O63:S63"/>
    <mergeCell ref="T63:U63"/>
    <mergeCell ref="B60:N60"/>
    <mergeCell ref="O60:S60"/>
    <mergeCell ref="T60:U60"/>
    <mergeCell ref="B61:N61"/>
    <mergeCell ref="O61:S61"/>
    <mergeCell ref="T61:U61"/>
    <mergeCell ref="B58:N58"/>
    <mergeCell ref="O58:S58"/>
    <mergeCell ref="T58:U58"/>
    <mergeCell ref="B59:N59"/>
    <mergeCell ref="O59:S59"/>
    <mergeCell ref="T59:U59"/>
    <mergeCell ref="B56:N56"/>
    <mergeCell ref="O56:S56"/>
    <mergeCell ref="T56:U56"/>
    <mergeCell ref="B57:N57"/>
    <mergeCell ref="O57:S57"/>
    <mergeCell ref="T57:U57"/>
    <mergeCell ref="B54:N54"/>
    <mergeCell ref="O54:S54"/>
    <mergeCell ref="T54:U54"/>
    <mergeCell ref="B55:N55"/>
    <mergeCell ref="O55:S55"/>
    <mergeCell ref="T55:U55"/>
    <mergeCell ref="B52:N52"/>
    <mergeCell ref="O52:S52"/>
    <mergeCell ref="T52:U52"/>
    <mergeCell ref="B53:N53"/>
    <mergeCell ref="O53:S53"/>
    <mergeCell ref="T53:U53"/>
    <mergeCell ref="B50:N50"/>
    <mergeCell ref="O50:S50"/>
    <mergeCell ref="T50:U50"/>
    <mergeCell ref="B51:N51"/>
    <mergeCell ref="O51:S51"/>
    <mergeCell ref="T51:U51"/>
    <mergeCell ref="B48:N48"/>
    <mergeCell ref="O48:S48"/>
    <mergeCell ref="T48:U48"/>
    <mergeCell ref="B49:N49"/>
    <mergeCell ref="O49:S49"/>
    <mergeCell ref="T49:U49"/>
    <mergeCell ref="B46:N46"/>
    <mergeCell ref="O46:S46"/>
    <mergeCell ref="T46:U46"/>
    <mergeCell ref="B47:N47"/>
    <mergeCell ref="O47:S47"/>
    <mergeCell ref="T47:U47"/>
    <mergeCell ref="B44:N44"/>
    <mergeCell ref="O44:S44"/>
    <mergeCell ref="T44:U44"/>
    <mergeCell ref="B45:N45"/>
    <mergeCell ref="O45:S45"/>
    <mergeCell ref="T45:U45"/>
    <mergeCell ref="B42:N42"/>
    <mergeCell ref="O42:S42"/>
    <mergeCell ref="T42:U42"/>
    <mergeCell ref="B43:N43"/>
    <mergeCell ref="O43:S43"/>
    <mergeCell ref="T43:U43"/>
    <mergeCell ref="B40:N40"/>
    <mergeCell ref="O40:S40"/>
    <mergeCell ref="T40:U40"/>
    <mergeCell ref="B41:N41"/>
    <mergeCell ref="O41:S41"/>
    <mergeCell ref="T41:U41"/>
    <mergeCell ref="B38:N38"/>
    <mergeCell ref="O38:S38"/>
    <mergeCell ref="T38:U38"/>
    <mergeCell ref="B39:N39"/>
    <mergeCell ref="O39:S39"/>
    <mergeCell ref="T39:U39"/>
    <mergeCell ref="B36:N36"/>
    <mergeCell ref="O36:S36"/>
    <mergeCell ref="T36:U36"/>
    <mergeCell ref="B37:N37"/>
    <mergeCell ref="O37:S37"/>
    <mergeCell ref="T37:U37"/>
    <mergeCell ref="B34:N34"/>
    <mergeCell ref="O34:S34"/>
    <mergeCell ref="T34:U34"/>
    <mergeCell ref="B35:N35"/>
    <mergeCell ref="O35:S35"/>
    <mergeCell ref="T35:U35"/>
    <mergeCell ref="B32:N32"/>
    <mergeCell ref="O32:S32"/>
    <mergeCell ref="T32:U32"/>
    <mergeCell ref="B33:N33"/>
    <mergeCell ref="O33:S33"/>
    <mergeCell ref="T33:U33"/>
    <mergeCell ref="B30:N30"/>
    <mergeCell ref="O30:S30"/>
    <mergeCell ref="T30:U30"/>
    <mergeCell ref="B31:N31"/>
    <mergeCell ref="O31:S31"/>
    <mergeCell ref="T31:U31"/>
    <mergeCell ref="B28:N28"/>
    <mergeCell ref="O28:S28"/>
    <mergeCell ref="T28:U28"/>
    <mergeCell ref="B29:N29"/>
    <mergeCell ref="O29:S29"/>
    <mergeCell ref="T29:U29"/>
    <mergeCell ref="B26:N26"/>
    <mergeCell ref="O26:S26"/>
    <mergeCell ref="T26:U26"/>
    <mergeCell ref="B27:N27"/>
    <mergeCell ref="O27:S27"/>
    <mergeCell ref="T27:U27"/>
    <mergeCell ref="I2:U2"/>
    <mergeCell ref="I3:U3"/>
    <mergeCell ref="I4:N4"/>
    <mergeCell ref="I5:N5"/>
    <mergeCell ref="B6:E6"/>
    <mergeCell ref="H7:N7"/>
    <mergeCell ref="B24:N24"/>
    <mergeCell ref="O24:S24"/>
    <mergeCell ref="T24:U24"/>
    <mergeCell ref="B25:N25"/>
    <mergeCell ref="O25:S25"/>
    <mergeCell ref="T25:U25"/>
    <mergeCell ref="L11:N14"/>
    <mergeCell ref="A17:O19"/>
    <mergeCell ref="B20:E20"/>
    <mergeCell ref="A21:U21"/>
    <mergeCell ref="A22:A23"/>
    <mergeCell ref="B22:N23"/>
    <mergeCell ref="O22:S23"/>
    <mergeCell ref="T22:U22"/>
    <mergeCell ref="T23:U23"/>
    <mergeCell ref="H8:H9"/>
    <mergeCell ref="I8:I9"/>
    <mergeCell ref="J8:J9"/>
    <mergeCell ref="K8:K9"/>
    <mergeCell ref="L8:N9"/>
    <mergeCell ref="E10:G10"/>
  </mergeCells>
  <dataValidations count="3">
    <dataValidation type="list" allowBlank="1" showInputMessage="1" showErrorMessage="1" sqref="I8:K9">
      <formula1>"BW,CP,PDF,DWG,DWF,DWG&amp; PDF,CP/ BW"</formula1>
    </dataValidation>
    <dataValidation type="list" allowBlank="1" showInputMessage="1" showErrorMessage="1" sqref="H10:K10">
      <formula1>"A,B,C,D,D(A),E,CD,EM,FTP"</formula1>
    </dataValidation>
    <dataValidation type="list" allowBlank="1" showInputMessage="1" showErrorMessage="1" sqref="H8:H9">
      <formula1>"BW,CP,PDF,DWG,DWF,DWG&amp; PDF,CP/ BW"</formula1>
    </dataValidation>
  </dataValidations>
  <printOptions horizontalCentered="1"/>
  <pageMargins left="0.5" right="0.5" top="1.5" bottom="0.75" header="0.5" footer="0.5"/>
  <pageSetup scale="87" fitToHeight="0" orientation="portrait" cellComments="atEnd" r:id="rId1"/>
  <headerFooter>
    <oddHeader>&amp;C&amp;"amlogo1,Regular"&amp;28AM
&amp;"-,Bold"&amp;18ALLGEIER, MARTIN and ASSOCIATES, INC.&amp;16
&amp;"-,Regular"&amp;10CONSULTING ENGINEERS&amp;"-,Bold"&amp;8
&amp;14DRAWING TRANSMITTAL AND RECORD</oddHeader>
    <oddFooter>&amp;C&amp;P of &amp;N&amp;R&amp;F</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Sheet1.PrintMe" altText="PDF ME">
                <anchor moveWithCells="1" sizeWithCells="1">
                  <from>
                    <xdr:col>22</xdr:col>
                    <xdr:colOff>142875</xdr:colOff>
                    <xdr:row>3</xdr:row>
                    <xdr:rowOff>0</xdr:rowOff>
                  </from>
                  <to>
                    <xdr:col>23</xdr:col>
                    <xdr:colOff>542925</xdr:colOff>
                    <xdr:row>6</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indexed="10"/>
    <pageSetUpPr fitToPage="1"/>
  </sheetPr>
  <dimension ref="A1:V406"/>
  <sheetViews>
    <sheetView topLeftCell="A10" workbookViewId="0">
      <selection activeCell="V22" sqref="A22:XFD22"/>
    </sheetView>
  </sheetViews>
  <sheetFormatPr defaultRowHeight="12.75" x14ac:dyDescent="0.2"/>
  <cols>
    <col min="1" max="1" width="7.42578125" style="171" customWidth="1"/>
    <col min="2" max="2" width="9.42578125" style="171" customWidth="1"/>
    <col min="3" max="5" width="9.140625" style="171"/>
    <col min="6" max="7" width="3.7109375" style="171" customWidth="1"/>
    <col min="8" max="11" width="5.42578125" style="171" customWidth="1"/>
    <col min="12" max="13" width="3.5703125" style="171" customWidth="1"/>
    <col min="14" max="17" width="3.7109375" style="171" customWidth="1"/>
    <col min="18" max="18" width="3.5703125" style="171" customWidth="1"/>
    <col min="19" max="19" width="3.42578125" style="171" customWidth="1"/>
    <col min="20" max="21" width="3.5703125" style="171" customWidth="1"/>
    <col min="22" max="256" width="9.140625" style="72"/>
    <col min="257" max="257" width="7.42578125" style="72" customWidth="1"/>
    <col min="258" max="258" width="9.42578125" style="72" customWidth="1"/>
    <col min="259" max="261" width="9.140625" style="72"/>
    <col min="262" max="267" width="3.7109375" style="72" customWidth="1"/>
    <col min="268" max="269" width="3.5703125" style="72" customWidth="1"/>
    <col min="270" max="270" width="4.85546875" style="72" customWidth="1"/>
    <col min="271" max="271" width="3.7109375" style="72" customWidth="1"/>
    <col min="272" max="272" width="5.28515625" style="72" customWidth="1"/>
    <col min="273" max="273" width="0" style="72" hidden="1" customWidth="1"/>
    <col min="274" max="274" width="3.5703125" style="72" customWidth="1"/>
    <col min="275" max="275" width="3.42578125" style="72" customWidth="1"/>
    <col min="276" max="277" width="3.5703125" style="72" customWidth="1"/>
    <col min="278" max="512" width="9.140625" style="72"/>
    <col min="513" max="513" width="7.42578125" style="72" customWidth="1"/>
    <col min="514" max="514" width="9.42578125" style="72" customWidth="1"/>
    <col min="515" max="517" width="9.140625" style="72"/>
    <col min="518" max="523" width="3.7109375" style="72" customWidth="1"/>
    <col min="524" max="525" width="3.5703125" style="72" customWidth="1"/>
    <col min="526" max="526" width="4.85546875" style="72" customWidth="1"/>
    <col min="527" max="527" width="3.7109375" style="72" customWidth="1"/>
    <col min="528" max="528" width="5.28515625" style="72" customWidth="1"/>
    <col min="529" max="529" width="0" style="72" hidden="1" customWidth="1"/>
    <col min="530" max="530" width="3.5703125" style="72" customWidth="1"/>
    <col min="531" max="531" width="3.42578125" style="72" customWidth="1"/>
    <col min="532" max="533" width="3.5703125" style="72" customWidth="1"/>
    <col min="534" max="768" width="9.140625" style="72"/>
    <col min="769" max="769" width="7.42578125" style="72" customWidth="1"/>
    <col min="770" max="770" width="9.42578125" style="72" customWidth="1"/>
    <col min="771" max="773" width="9.140625" style="72"/>
    <col min="774" max="779" width="3.7109375" style="72" customWidth="1"/>
    <col min="780" max="781" width="3.5703125" style="72" customWidth="1"/>
    <col min="782" max="782" width="4.85546875" style="72" customWidth="1"/>
    <col min="783" max="783" width="3.7109375" style="72" customWidth="1"/>
    <col min="784" max="784" width="5.28515625" style="72" customWidth="1"/>
    <col min="785" max="785" width="0" style="72" hidden="1" customWidth="1"/>
    <col min="786" max="786" width="3.5703125" style="72" customWidth="1"/>
    <col min="787" max="787" width="3.42578125" style="72" customWidth="1"/>
    <col min="788" max="789" width="3.5703125" style="72" customWidth="1"/>
    <col min="790" max="1024" width="9.140625" style="72"/>
    <col min="1025" max="1025" width="7.42578125" style="72" customWidth="1"/>
    <col min="1026" max="1026" width="9.42578125" style="72" customWidth="1"/>
    <col min="1027" max="1029" width="9.140625" style="72"/>
    <col min="1030" max="1035" width="3.7109375" style="72" customWidth="1"/>
    <col min="1036" max="1037" width="3.5703125" style="72" customWidth="1"/>
    <col min="1038" max="1038" width="4.85546875" style="72" customWidth="1"/>
    <col min="1039" max="1039" width="3.7109375" style="72" customWidth="1"/>
    <col min="1040" max="1040" width="5.28515625" style="72" customWidth="1"/>
    <col min="1041" max="1041" width="0" style="72" hidden="1" customWidth="1"/>
    <col min="1042" max="1042" width="3.5703125" style="72" customWidth="1"/>
    <col min="1043" max="1043" width="3.42578125" style="72" customWidth="1"/>
    <col min="1044" max="1045" width="3.5703125" style="72" customWidth="1"/>
    <col min="1046" max="1280" width="9.140625" style="72"/>
    <col min="1281" max="1281" width="7.42578125" style="72" customWidth="1"/>
    <col min="1282" max="1282" width="9.42578125" style="72" customWidth="1"/>
    <col min="1283" max="1285" width="9.140625" style="72"/>
    <col min="1286" max="1291" width="3.7109375" style="72" customWidth="1"/>
    <col min="1292" max="1293" width="3.5703125" style="72" customWidth="1"/>
    <col min="1294" max="1294" width="4.85546875" style="72" customWidth="1"/>
    <col min="1295" max="1295" width="3.7109375" style="72" customWidth="1"/>
    <col min="1296" max="1296" width="5.28515625" style="72" customWidth="1"/>
    <col min="1297" max="1297" width="0" style="72" hidden="1" customWidth="1"/>
    <col min="1298" max="1298" width="3.5703125" style="72" customWidth="1"/>
    <col min="1299" max="1299" width="3.42578125" style="72" customWidth="1"/>
    <col min="1300" max="1301" width="3.5703125" style="72" customWidth="1"/>
    <col min="1302" max="1536" width="9.140625" style="72"/>
    <col min="1537" max="1537" width="7.42578125" style="72" customWidth="1"/>
    <col min="1538" max="1538" width="9.42578125" style="72" customWidth="1"/>
    <col min="1539" max="1541" width="9.140625" style="72"/>
    <col min="1542" max="1547" width="3.7109375" style="72" customWidth="1"/>
    <col min="1548" max="1549" width="3.5703125" style="72" customWidth="1"/>
    <col min="1550" max="1550" width="4.85546875" style="72" customWidth="1"/>
    <col min="1551" max="1551" width="3.7109375" style="72" customWidth="1"/>
    <col min="1552" max="1552" width="5.28515625" style="72" customWidth="1"/>
    <col min="1553" max="1553" width="0" style="72" hidden="1" customWidth="1"/>
    <col min="1554" max="1554" width="3.5703125" style="72" customWidth="1"/>
    <col min="1555" max="1555" width="3.42578125" style="72" customWidth="1"/>
    <col min="1556" max="1557" width="3.5703125" style="72" customWidth="1"/>
    <col min="1558" max="1792" width="9.140625" style="72"/>
    <col min="1793" max="1793" width="7.42578125" style="72" customWidth="1"/>
    <col min="1794" max="1794" width="9.42578125" style="72" customWidth="1"/>
    <col min="1795" max="1797" width="9.140625" style="72"/>
    <col min="1798" max="1803" width="3.7109375" style="72" customWidth="1"/>
    <col min="1804" max="1805" width="3.5703125" style="72" customWidth="1"/>
    <col min="1806" max="1806" width="4.85546875" style="72" customWidth="1"/>
    <col min="1807" max="1807" width="3.7109375" style="72" customWidth="1"/>
    <col min="1808" max="1808" width="5.28515625" style="72" customWidth="1"/>
    <col min="1809" max="1809" width="0" style="72" hidden="1" customWidth="1"/>
    <col min="1810" max="1810" width="3.5703125" style="72" customWidth="1"/>
    <col min="1811" max="1811" width="3.42578125" style="72" customWidth="1"/>
    <col min="1812" max="1813" width="3.5703125" style="72" customWidth="1"/>
    <col min="1814" max="2048" width="9.140625" style="72"/>
    <col min="2049" max="2049" width="7.42578125" style="72" customWidth="1"/>
    <col min="2050" max="2050" width="9.42578125" style="72" customWidth="1"/>
    <col min="2051" max="2053" width="9.140625" style="72"/>
    <col min="2054" max="2059" width="3.7109375" style="72" customWidth="1"/>
    <col min="2060" max="2061" width="3.5703125" style="72" customWidth="1"/>
    <col min="2062" max="2062" width="4.85546875" style="72" customWidth="1"/>
    <col min="2063" max="2063" width="3.7109375" style="72" customWidth="1"/>
    <col min="2064" max="2064" width="5.28515625" style="72" customWidth="1"/>
    <col min="2065" max="2065" width="0" style="72" hidden="1" customWidth="1"/>
    <col min="2066" max="2066" width="3.5703125" style="72" customWidth="1"/>
    <col min="2067" max="2067" width="3.42578125" style="72" customWidth="1"/>
    <col min="2068" max="2069" width="3.5703125" style="72" customWidth="1"/>
    <col min="2070" max="2304" width="9.140625" style="72"/>
    <col min="2305" max="2305" width="7.42578125" style="72" customWidth="1"/>
    <col min="2306" max="2306" width="9.42578125" style="72" customWidth="1"/>
    <col min="2307" max="2309" width="9.140625" style="72"/>
    <col min="2310" max="2315" width="3.7109375" style="72" customWidth="1"/>
    <col min="2316" max="2317" width="3.5703125" style="72" customWidth="1"/>
    <col min="2318" max="2318" width="4.85546875" style="72" customWidth="1"/>
    <col min="2319" max="2319" width="3.7109375" style="72" customWidth="1"/>
    <col min="2320" max="2320" width="5.28515625" style="72" customWidth="1"/>
    <col min="2321" max="2321" width="0" style="72" hidden="1" customWidth="1"/>
    <col min="2322" max="2322" width="3.5703125" style="72" customWidth="1"/>
    <col min="2323" max="2323" width="3.42578125" style="72" customWidth="1"/>
    <col min="2324" max="2325" width="3.5703125" style="72" customWidth="1"/>
    <col min="2326" max="2560" width="9.140625" style="72"/>
    <col min="2561" max="2561" width="7.42578125" style="72" customWidth="1"/>
    <col min="2562" max="2562" width="9.42578125" style="72" customWidth="1"/>
    <col min="2563" max="2565" width="9.140625" style="72"/>
    <col min="2566" max="2571" width="3.7109375" style="72" customWidth="1"/>
    <col min="2572" max="2573" width="3.5703125" style="72" customWidth="1"/>
    <col min="2574" max="2574" width="4.85546875" style="72" customWidth="1"/>
    <col min="2575" max="2575" width="3.7109375" style="72" customWidth="1"/>
    <col min="2576" max="2576" width="5.28515625" style="72" customWidth="1"/>
    <col min="2577" max="2577" width="0" style="72" hidden="1" customWidth="1"/>
    <col min="2578" max="2578" width="3.5703125" style="72" customWidth="1"/>
    <col min="2579" max="2579" width="3.42578125" style="72" customWidth="1"/>
    <col min="2580" max="2581" width="3.5703125" style="72" customWidth="1"/>
    <col min="2582" max="2816" width="9.140625" style="72"/>
    <col min="2817" max="2817" width="7.42578125" style="72" customWidth="1"/>
    <col min="2818" max="2818" width="9.42578125" style="72" customWidth="1"/>
    <col min="2819" max="2821" width="9.140625" style="72"/>
    <col min="2822" max="2827" width="3.7109375" style="72" customWidth="1"/>
    <col min="2828" max="2829" width="3.5703125" style="72" customWidth="1"/>
    <col min="2830" max="2830" width="4.85546875" style="72" customWidth="1"/>
    <col min="2831" max="2831" width="3.7109375" style="72" customWidth="1"/>
    <col min="2832" max="2832" width="5.28515625" style="72" customWidth="1"/>
    <col min="2833" max="2833" width="0" style="72" hidden="1" customWidth="1"/>
    <col min="2834" max="2834" width="3.5703125" style="72" customWidth="1"/>
    <col min="2835" max="2835" width="3.42578125" style="72" customWidth="1"/>
    <col min="2836" max="2837" width="3.5703125" style="72" customWidth="1"/>
    <col min="2838" max="3072" width="9.140625" style="72"/>
    <col min="3073" max="3073" width="7.42578125" style="72" customWidth="1"/>
    <col min="3074" max="3074" width="9.42578125" style="72" customWidth="1"/>
    <col min="3075" max="3077" width="9.140625" style="72"/>
    <col min="3078" max="3083" width="3.7109375" style="72" customWidth="1"/>
    <col min="3084" max="3085" width="3.5703125" style="72" customWidth="1"/>
    <col min="3086" max="3086" width="4.85546875" style="72" customWidth="1"/>
    <col min="3087" max="3087" width="3.7109375" style="72" customWidth="1"/>
    <col min="3088" max="3088" width="5.28515625" style="72" customWidth="1"/>
    <col min="3089" max="3089" width="0" style="72" hidden="1" customWidth="1"/>
    <col min="3090" max="3090" width="3.5703125" style="72" customWidth="1"/>
    <col min="3091" max="3091" width="3.42578125" style="72" customWidth="1"/>
    <col min="3092" max="3093" width="3.5703125" style="72" customWidth="1"/>
    <col min="3094" max="3328" width="9.140625" style="72"/>
    <col min="3329" max="3329" width="7.42578125" style="72" customWidth="1"/>
    <col min="3330" max="3330" width="9.42578125" style="72" customWidth="1"/>
    <col min="3331" max="3333" width="9.140625" style="72"/>
    <col min="3334" max="3339" width="3.7109375" style="72" customWidth="1"/>
    <col min="3340" max="3341" width="3.5703125" style="72" customWidth="1"/>
    <col min="3342" max="3342" width="4.85546875" style="72" customWidth="1"/>
    <col min="3343" max="3343" width="3.7109375" style="72" customWidth="1"/>
    <col min="3344" max="3344" width="5.28515625" style="72" customWidth="1"/>
    <col min="3345" max="3345" width="0" style="72" hidden="1" customWidth="1"/>
    <col min="3346" max="3346" width="3.5703125" style="72" customWidth="1"/>
    <col min="3347" max="3347" width="3.42578125" style="72" customWidth="1"/>
    <col min="3348" max="3349" width="3.5703125" style="72" customWidth="1"/>
    <col min="3350" max="3584" width="9.140625" style="72"/>
    <col min="3585" max="3585" width="7.42578125" style="72" customWidth="1"/>
    <col min="3586" max="3586" width="9.42578125" style="72" customWidth="1"/>
    <col min="3587" max="3589" width="9.140625" style="72"/>
    <col min="3590" max="3595" width="3.7109375" style="72" customWidth="1"/>
    <col min="3596" max="3597" width="3.5703125" style="72" customWidth="1"/>
    <col min="3598" max="3598" width="4.85546875" style="72" customWidth="1"/>
    <col min="3599" max="3599" width="3.7109375" style="72" customWidth="1"/>
    <col min="3600" max="3600" width="5.28515625" style="72" customWidth="1"/>
    <col min="3601" max="3601" width="0" style="72" hidden="1" customWidth="1"/>
    <col min="3602" max="3602" width="3.5703125" style="72" customWidth="1"/>
    <col min="3603" max="3603" width="3.42578125" style="72" customWidth="1"/>
    <col min="3604" max="3605" width="3.5703125" style="72" customWidth="1"/>
    <col min="3606" max="3840" width="9.140625" style="72"/>
    <col min="3841" max="3841" width="7.42578125" style="72" customWidth="1"/>
    <col min="3842" max="3842" width="9.42578125" style="72" customWidth="1"/>
    <col min="3843" max="3845" width="9.140625" style="72"/>
    <col min="3846" max="3851" width="3.7109375" style="72" customWidth="1"/>
    <col min="3852" max="3853" width="3.5703125" style="72" customWidth="1"/>
    <col min="3854" max="3854" width="4.85546875" style="72" customWidth="1"/>
    <col min="3855" max="3855" width="3.7109375" style="72" customWidth="1"/>
    <col min="3856" max="3856" width="5.28515625" style="72" customWidth="1"/>
    <col min="3857" max="3857" width="0" style="72" hidden="1" customWidth="1"/>
    <col min="3858" max="3858" width="3.5703125" style="72" customWidth="1"/>
    <col min="3859" max="3859" width="3.42578125" style="72" customWidth="1"/>
    <col min="3860" max="3861" width="3.5703125" style="72" customWidth="1"/>
    <col min="3862" max="4096" width="9.140625" style="72"/>
    <col min="4097" max="4097" width="7.42578125" style="72" customWidth="1"/>
    <col min="4098" max="4098" width="9.42578125" style="72" customWidth="1"/>
    <col min="4099" max="4101" width="9.140625" style="72"/>
    <col min="4102" max="4107" width="3.7109375" style="72" customWidth="1"/>
    <col min="4108" max="4109" width="3.5703125" style="72" customWidth="1"/>
    <col min="4110" max="4110" width="4.85546875" style="72" customWidth="1"/>
    <col min="4111" max="4111" width="3.7109375" style="72" customWidth="1"/>
    <col min="4112" max="4112" width="5.28515625" style="72" customWidth="1"/>
    <col min="4113" max="4113" width="0" style="72" hidden="1" customWidth="1"/>
    <col min="4114" max="4114" width="3.5703125" style="72" customWidth="1"/>
    <col min="4115" max="4115" width="3.42578125" style="72" customWidth="1"/>
    <col min="4116" max="4117" width="3.5703125" style="72" customWidth="1"/>
    <col min="4118" max="4352" width="9.140625" style="72"/>
    <col min="4353" max="4353" width="7.42578125" style="72" customWidth="1"/>
    <col min="4354" max="4354" width="9.42578125" style="72" customWidth="1"/>
    <col min="4355" max="4357" width="9.140625" style="72"/>
    <col min="4358" max="4363" width="3.7109375" style="72" customWidth="1"/>
    <col min="4364" max="4365" width="3.5703125" style="72" customWidth="1"/>
    <col min="4366" max="4366" width="4.85546875" style="72" customWidth="1"/>
    <col min="4367" max="4367" width="3.7109375" style="72" customWidth="1"/>
    <col min="4368" max="4368" width="5.28515625" style="72" customWidth="1"/>
    <col min="4369" max="4369" width="0" style="72" hidden="1" customWidth="1"/>
    <col min="4370" max="4370" width="3.5703125" style="72" customWidth="1"/>
    <col min="4371" max="4371" width="3.42578125" style="72" customWidth="1"/>
    <col min="4372" max="4373" width="3.5703125" style="72" customWidth="1"/>
    <col min="4374" max="4608" width="9.140625" style="72"/>
    <col min="4609" max="4609" width="7.42578125" style="72" customWidth="1"/>
    <col min="4610" max="4610" width="9.42578125" style="72" customWidth="1"/>
    <col min="4611" max="4613" width="9.140625" style="72"/>
    <col min="4614" max="4619" width="3.7109375" style="72" customWidth="1"/>
    <col min="4620" max="4621" width="3.5703125" style="72" customWidth="1"/>
    <col min="4622" max="4622" width="4.85546875" style="72" customWidth="1"/>
    <col min="4623" max="4623" width="3.7109375" style="72" customWidth="1"/>
    <col min="4624" max="4624" width="5.28515625" style="72" customWidth="1"/>
    <col min="4625" max="4625" width="0" style="72" hidden="1" customWidth="1"/>
    <col min="4626" max="4626" width="3.5703125" style="72" customWidth="1"/>
    <col min="4627" max="4627" width="3.42578125" style="72" customWidth="1"/>
    <col min="4628" max="4629" width="3.5703125" style="72" customWidth="1"/>
    <col min="4630" max="4864" width="9.140625" style="72"/>
    <col min="4865" max="4865" width="7.42578125" style="72" customWidth="1"/>
    <col min="4866" max="4866" width="9.42578125" style="72" customWidth="1"/>
    <col min="4867" max="4869" width="9.140625" style="72"/>
    <col min="4870" max="4875" width="3.7109375" style="72" customWidth="1"/>
    <col min="4876" max="4877" width="3.5703125" style="72" customWidth="1"/>
    <col min="4878" max="4878" width="4.85546875" style="72" customWidth="1"/>
    <col min="4879" max="4879" width="3.7109375" style="72" customWidth="1"/>
    <col min="4880" max="4880" width="5.28515625" style="72" customWidth="1"/>
    <col min="4881" max="4881" width="0" style="72" hidden="1" customWidth="1"/>
    <col min="4882" max="4882" width="3.5703125" style="72" customWidth="1"/>
    <col min="4883" max="4883" width="3.42578125" style="72" customWidth="1"/>
    <col min="4884" max="4885" width="3.5703125" style="72" customWidth="1"/>
    <col min="4886" max="5120" width="9.140625" style="72"/>
    <col min="5121" max="5121" width="7.42578125" style="72" customWidth="1"/>
    <col min="5122" max="5122" width="9.42578125" style="72" customWidth="1"/>
    <col min="5123" max="5125" width="9.140625" style="72"/>
    <col min="5126" max="5131" width="3.7109375" style="72" customWidth="1"/>
    <col min="5132" max="5133" width="3.5703125" style="72" customWidth="1"/>
    <col min="5134" max="5134" width="4.85546875" style="72" customWidth="1"/>
    <col min="5135" max="5135" width="3.7109375" style="72" customWidth="1"/>
    <col min="5136" max="5136" width="5.28515625" style="72" customWidth="1"/>
    <col min="5137" max="5137" width="0" style="72" hidden="1" customWidth="1"/>
    <col min="5138" max="5138" width="3.5703125" style="72" customWidth="1"/>
    <col min="5139" max="5139" width="3.42578125" style="72" customWidth="1"/>
    <col min="5140" max="5141" width="3.5703125" style="72" customWidth="1"/>
    <col min="5142" max="5376" width="9.140625" style="72"/>
    <col min="5377" max="5377" width="7.42578125" style="72" customWidth="1"/>
    <col min="5378" max="5378" width="9.42578125" style="72" customWidth="1"/>
    <col min="5379" max="5381" width="9.140625" style="72"/>
    <col min="5382" max="5387" width="3.7109375" style="72" customWidth="1"/>
    <col min="5388" max="5389" width="3.5703125" style="72" customWidth="1"/>
    <col min="5390" max="5390" width="4.85546875" style="72" customWidth="1"/>
    <col min="5391" max="5391" width="3.7109375" style="72" customWidth="1"/>
    <col min="5392" max="5392" width="5.28515625" style="72" customWidth="1"/>
    <col min="5393" max="5393" width="0" style="72" hidden="1" customWidth="1"/>
    <col min="5394" max="5394" width="3.5703125" style="72" customWidth="1"/>
    <col min="5395" max="5395" width="3.42578125" style="72" customWidth="1"/>
    <col min="5396" max="5397" width="3.5703125" style="72" customWidth="1"/>
    <col min="5398" max="5632" width="9.140625" style="72"/>
    <col min="5633" max="5633" width="7.42578125" style="72" customWidth="1"/>
    <col min="5634" max="5634" width="9.42578125" style="72" customWidth="1"/>
    <col min="5635" max="5637" width="9.140625" style="72"/>
    <col min="5638" max="5643" width="3.7109375" style="72" customWidth="1"/>
    <col min="5644" max="5645" width="3.5703125" style="72" customWidth="1"/>
    <col min="5646" max="5646" width="4.85546875" style="72" customWidth="1"/>
    <col min="5647" max="5647" width="3.7109375" style="72" customWidth="1"/>
    <col min="5648" max="5648" width="5.28515625" style="72" customWidth="1"/>
    <col min="5649" max="5649" width="0" style="72" hidden="1" customWidth="1"/>
    <col min="5650" max="5650" width="3.5703125" style="72" customWidth="1"/>
    <col min="5651" max="5651" width="3.42578125" style="72" customWidth="1"/>
    <col min="5652" max="5653" width="3.5703125" style="72" customWidth="1"/>
    <col min="5654" max="5888" width="9.140625" style="72"/>
    <col min="5889" max="5889" width="7.42578125" style="72" customWidth="1"/>
    <col min="5890" max="5890" width="9.42578125" style="72" customWidth="1"/>
    <col min="5891" max="5893" width="9.140625" style="72"/>
    <col min="5894" max="5899" width="3.7109375" style="72" customWidth="1"/>
    <col min="5900" max="5901" width="3.5703125" style="72" customWidth="1"/>
    <col min="5902" max="5902" width="4.85546875" style="72" customWidth="1"/>
    <col min="5903" max="5903" width="3.7109375" style="72" customWidth="1"/>
    <col min="5904" max="5904" width="5.28515625" style="72" customWidth="1"/>
    <col min="5905" max="5905" width="0" style="72" hidden="1" customWidth="1"/>
    <col min="5906" max="5906" width="3.5703125" style="72" customWidth="1"/>
    <col min="5907" max="5907" width="3.42578125" style="72" customWidth="1"/>
    <col min="5908" max="5909" width="3.5703125" style="72" customWidth="1"/>
    <col min="5910" max="6144" width="9.140625" style="72"/>
    <col min="6145" max="6145" width="7.42578125" style="72" customWidth="1"/>
    <col min="6146" max="6146" width="9.42578125" style="72" customWidth="1"/>
    <col min="6147" max="6149" width="9.140625" style="72"/>
    <col min="6150" max="6155" width="3.7109375" style="72" customWidth="1"/>
    <col min="6156" max="6157" width="3.5703125" style="72" customWidth="1"/>
    <col min="6158" max="6158" width="4.85546875" style="72" customWidth="1"/>
    <col min="6159" max="6159" width="3.7109375" style="72" customWidth="1"/>
    <col min="6160" max="6160" width="5.28515625" style="72" customWidth="1"/>
    <col min="6161" max="6161" width="0" style="72" hidden="1" customWidth="1"/>
    <col min="6162" max="6162" width="3.5703125" style="72" customWidth="1"/>
    <col min="6163" max="6163" width="3.42578125" style="72" customWidth="1"/>
    <col min="6164" max="6165" width="3.5703125" style="72" customWidth="1"/>
    <col min="6166" max="6400" width="9.140625" style="72"/>
    <col min="6401" max="6401" width="7.42578125" style="72" customWidth="1"/>
    <col min="6402" max="6402" width="9.42578125" style="72" customWidth="1"/>
    <col min="6403" max="6405" width="9.140625" style="72"/>
    <col min="6406" max="6411" width="3.7109375" style="72" customWidth="1"/>
    <col min="6412" max="6413" width="3.5703125" style="72" customWidth="1"/>
    <col min="6414" max="6414" width="4.85546875" style="72" customWidth="1"/>
    <col min="6415" max="6415" width="3.7109375" style="72" customWidth="1"/>
    <col min="6416" max="6416" width="5.28515625" style="72" customWidth="1"/>
    <col min="6417" max="6417" width="0" style="72" hidden="1" customWidth="1"/>
    <col min="6418" max="6418" width="3.5703125" style="72" customWidth="1"/>
    <col min="6419" max="6419" width="3.42578125" style="72" customWidth="1"/>
    <col min="6420" max="6421" width="3.5703125" style="72" customWidth="1"/>
    <col min="6422" max="6656" width="9.140625" style="72"/>
    <col min="6657" max="6657" width="7.42578125" style="72" customWidth="1"/>
    <col min="6658" max="6658" width="9.42578125" style="72" customWidth="1"/>
    <col min="6659" max="6661" width="9.140625" style="72"/>
    <col min="6662" max="6667" width="3.7109375" style="72" customWidth="1"/>
    <col min="6668" max="6669" width="3.5703125" style="72" customWidth="1"/>
    <col min="6670" max="6670" width="4.85546875" style="72" customWidth="1"/>
    <col min="6671" max="6671" width="3.7109375" style="72" customWidth="1"/>
    <col min="6672" max="6672" width="5.28515625" style="72" customWidth="1"/>
    <col min="6673" max="6673" width="0" style="72" hidden="1" customWidth="1"/>
    <col min="6674" max="6674" width="3.5703125" style="72" customWidth="1"/>
    <col min="6675" max="6675" width="3.42578125" style="72" customWidth="1"/>
    <col min="6676" max="6677" width="3.5703125" style="72" customWidth="1"/>
    <col min="6678" max="6912" width="9.140625" style="72"/>
    <col min="6913" max="6913" width="7.42578125" style="72" customWidth="1"/>
    <col min="6914" max="6914" width="9.42578125" style="72" customWidth="1"/>
    <col min="6915" max="6917" width="9.140625" style="72"/>
    <col min="6918" max="6923" width="3.7109375" style="72" customWidth="1"/>
    <col min="6924" max="6925" width="3.5703125" style="72" customWidth="1"/>
    <col min="6926" max="6926" width="4.85546875" style="72" customWidth="1"/>
    <col min="6927" max="6927" width="3.7109375" style="72" customWidth="1"/>
    <col min="6928" max="6928" width="5.28515625" style="72" customWidth="1"/>
    <col min="6929" max="6929" width="0" style="72" hidden="1" customWidth="1"/>
    <col min="6930" max="6930" width="3.5703125" style="72" customWidth="1"/>
    <col min="6931" max="6931" width="3.42578125" style="72" customWidth="1"/>
    <col min="6932" max="6933" width="3.5703125" style="72" customWidth="1"/>
    <col min="6934" max="7168" width="9.140625" style="72"/>
    <col min="7169" max="7169" width="7.42578125" style="72" customWidth="1"/>
    <col min="7170" max="7170" width="9.42578125" style="72" customWidth="1"/>
    <col min="7171" max="7173" width="9.140625" style="72"/>
    <col min="7174" max="7179" width="3.7109375" style="72" customWidth="1"/>
    <col min="7180" max="7181" width="3.5703125" style="72" customWidth="1"/>
    <col min="7182" max="7182" width="4.85546875" style="72" customWidth="1"/>
    <col min="7183" max="7183" width="3.7109375" style="72" customWidth="1"/>
    <col min="7184" max="7184" width="5.28515625" style="72" customWidth="1"/>
    <col min="7185" max="7185" width="0" style="72" hidden="1" customWidth="1"/>
    <col min="7186" max="7186" width="3.5703125" style="72" customWidth="1"/>
    <col min="7187" max="7187" width="3.42578125" style="72" customWidth="1"/>
    <col min="7188" max="7189" width="3.5703125" style="72" customWidth="1"/>
    <col min="7190" max="7424" width="9.140625" style="72"/>
    <col min="7425" max="7425" width="7.42578125" style="72" customWidth="1"/>
    <col min="7426" max="7426" width="9.42578125" style="72" customWidth="1"/>
    <col min="7427" max="7429" width="9.140625" style="72"/>
    <col min="7430" max="7435" width="3.7109375" style="72" customWidth="1"/>
    <col min="7436" max="7437" width="3.5703125" style="72" customWidth="1"/>
    <col min="7438" max="7438" width="4.85546875" style="72" customWidth="1"/>
    <col min="7439" max="7439" width="3.7109375" style="72" customWidth="1"/>
    <col min="7440" max="7440" width="5.28515625" style="72" customWidth="1"/>
    <col min="7441" max="7441" width="0" style="72" hidden="1" customWidth="1"/>
    <col min="7442" max="7442" width="3.5703125" style="72" customWidth="1"/>
    <col min="7443" max="7443" width="3.42578125" style="72" customWidth="1"/>
    <col min="7444" max="7445" width="3.5703125" style="72" customWidth="1"/>
    <col min="7446" max="7680" width="9.140625" style="72"/>
    <col min="7681" max="7681" width="7.42578125" style="72" customWidth="1"/>
    <col min="7682" max="7682" width="9.42578125" style="72" customWidth="1"/>
    <col min="7683" max="7685" width="9.140625" style="72"/>
    <col min="7686" max="7691" width="3.7109375" style="72" customWidth="1"/>
    <col min="7692" max="7693" width="3.5703125" style="72" customWidth="1"/>
    <col min="7694" max="7694" width="4.85546875" style="72" customWidth="1"/>
    <col min="7695" max="7695" width="3.7109375" style="72" customWidth="1"/>
    <col min="7696" max="7696" width="5.28515625" style="72" customWidth="1"/>
    <col min="7697" max="7697" width="0" style="72" hidden="1" customWidth="1"/>
    <col min="7698" max="7698" width="3.5703125" style="72" customWidth="1"/>
    <col min="7699" max="7699" width="3.42578125" style="72" customWidth="1"/>
    <col min="7700" max="7701" width="3.5703125" style="72" customWidth="1"/>
    <col min="7702" max="7936" width="9.140625" style="72"/>
    <col min="7937" max="7937" width="7.42578125" style="72" customWidth="1"/>
    <col min="7938" max="7938" width="9.42578125" style="72" customWidth="1"/>
    <col min="7939" max="7941" width="9.140625" style="72"/>
    <col min="7942" max="7947" width="3.7109375" style="72" customWidth="1"/>
    <col min="7948" max="7949" width="3.5703125" style="72" customWidth="1"/>
    <col min="7950" max="7950" width="4.85546875" style="72" customWidth="1"/>
    <col min="7951" max="7951" width="3.7109375" style="72" customWidth="1"/>
    <col min="7952" max="7952" width="5.28515625" style="72" customWidth="1"/>
    <col min="7953" max="7953" width="0" style="72" hidden="1" customWidth="1"/>
    <col min="7954" max="7954" width="3.5703125" style="72" customWidth="1"/>
    <col min="7955" max="7955" width="3.42578125" style="72" customWidth="1"/>
    <col min="7956" max="7957" width="3.5703125" style="72" customWidth="1"/>
    <col min="7958" max="8192" width="9.140625" style="72"/>
    <col min="8193" max="8193" width="7.42578125" style="72" customWidth="1"/>
    <col min="8194" max="8194" width="9.42578125" style="72" customWidth="1"/>
    <col min="8195" max="8197" width="9.140625" style="72"/>
    <col min="8198" max="8203" width="3.7109375" style="72" customWidth="1"/>
    <col min="8204" max="8205" width="3.5703125" style="72" customWidth="1"/>
    <col min="8206" max="8206" width="4.85546875" style="72" customWidth="1"/>
    <col min="8207" max="8207" width="3.7109375" style="72" customWidth="1"/>
    <col min="8208" max="8208" width="5.28515625" style="72" customWidth="1"/>
    <col min="8209" max="8209" width="0" style="72" hidden="1" customWidth="1"/>
    <col min="8210" max="8210" width="3.5703125" style="72" customWidth="1"/>
    <col min="8211" max="8211" width="3.42578125" style="72" customWidth="1"/>
    <col min="8212" max="8213" width="3.5703125" style="72" customWidth="1"/>
    <col min="8214" max="8448" width="9.140625" style="72"/>
    <col min="8449" max="8449" width="7.42578125" style="72" customWidth="1"/>
    <col min="8450" max="8450" width="9.42578125" style="72" customWidth="1"/>
    <col min="8451" max="8453" width="9.140625" style="72"/>
    <col min="8454" max="8459" width="3.7109375" style="72" customWidth="1"/>
    <col min="8460" max="8461" width="3.5703125" style="72" customWidth="1"/>
    <col min="8462" max="8462" width="4.85546875" style="72" customWidth="1"/>
    <col min="8463" max="8463" width="3.7109375" style="72" customWidth="1"/>
    <col min="8464" max="8464" width="5.28515625" style="72" customWidth="1"/>
    <col min="8465" max="8465" width="0" style="72" hidden="1" customWidth="1"/>
    <col min="8466" max="8466" width="3.5703125" style="72" customWidth="1"/>
    <col min="8467" max="8467" width="3.42578125" style="72" customWidth="1"/>
    <col min="8468" max="8469" width="3.5703125" style="72" customWidth="1"/>
    <col min="8470" max="8704" width="9.140625" style="72"/>
    <col min="8705" max="8705" width="7.42578125" style="72" customWidth="1"/>
    <col min="8706" max="8706" width="9.42578125" style="72" customWidth="1"/>
    <col min="8707" max="8709" width="9.140625" style="72"/>
    <col min="8710" max="8715" width="3.7109375" style="72" customWidth="1"/>
    <col min="8716" max="8717" width="3.5703125" style="72" customWidth="1"/>
    <col min="8718" max="8718" width="4.85546875" style="72" customWidth="1"/>
    <col min="8719" max="8719" width="3.7109375" style="72" customWidth="1"/>
    <col min="8720" max="8720" width="5.28515625" style="72" customWidth="1"/>
    <col min="8721" max="8721" width="0" style="72" hidden="1" customWidth="1"/>
    <col min="8722" max="8722" width="3.5703125" style="72" customWidth="1"/>
    <col min="8723" max="8723" width="3.42578125" style="72" customWidth="1"/>
    <col min="8724" max="8725" width="3.5703125" style="72" customWidth="1"/>
    <col min="8726" max="8960" width="9.140625" style="72"/>
    <col min="8961" max="8961" width="7.42578125" style="72" customWidth="1"/>
    <col min="8962" max="8962" width="9.42578125" style="72" customWidth="1"/>
    <col min="8963" max="8965" width="9.140625" style="72"/>
    <col min="8966" max="8971" width="3.7109375" style="72" customWidth="1"/>
    <col min="8972" max="8973" width="3.5703125" style="72" customWidth="1"/>
    <col min="8974" max="8974" width="4.85546875" style="72" customWidth="1"/>
    <col min="8975" max="8975" width="3.7109375" style="72" customWidth="1"/>
    <col min="8976" max="8976" width="5.28515625" style="72" customWidth="1"/>
    <col min="8977" max="8977" width="0" style="72" hidden="1" customWidth="1"/>
    <col min="8978" max="8978" width="3.5703125" style="72" customWidth="1"/>
    <col min="8979" max="8979" width="3.42578125" style="72" customWidth="1"/>
    <col min="8980" max="8981" width="3.5703125" style="72" customWidth="1"/>
    <col min="8982" max="9216" width="9.140625" style="72"/>
    <col min="9217" max="9217" width="7.42578125" style="72" customWidth="1"/>
    <col min="9218" max="9218" width="9.42578125" style="72" customWidth="1"/>
    <col min="9219" max="9221" width="9.140625" style="72"/>
    <col min="9222" max="9227" width="3.7109375" style="72" customWidth="1"/>
    <col min="9228" max="9229" width="3.5703125" style="72" customWidth="1"/>
    <col min="9230" max="9230" width="4.85546875" style="72" customWidth="1"/>
    <col min="9231" max="9231" width="3.7109375" style="72" customWidth="1"/>
    <col min="9232" max="9232" width="5.28515625" style="72" customWidth="1"/>
    <col min="9233" max="9233" width="0" style="72" hidden="1" customWidth="1"/>
    <col min="9234" max="9234" width="3.5703125" style="72" customWidth="1"/>
    <col min="9235" max="9235" width="3.42578125" style="72" customWidth="1"/>
    <col min="9236" max="9237" width="3.5703125" style="72" customWidth="1"/>
    <col min="9238" max="9472" width="9.140625" style="72"/>
    <col min="9473" max="9473" width="7.42578125" style="72" customWidth="1"/>
    <col min="9474" max="9474" width="9.42578125" style="72" customWidth="1"/>
    <col min="9475" max="9477" width="9.140625" style="72"/>
    <col min="9478" max="9483" width="3.7109375" style="72" customWidth="1"/>
    <col min="9484" max="9485" width="3.5703125" style="72" customWidth="1"/>
    <col min="9486" max="9486" width="4.85546875" style="72" customWidth="1"/>
    <col min="9487" max="9487" width="3.7109375" style="72" customWidth="1"/>
    <col min="9488" max="9488" width="5.28515625" style="72" customWidth="1"/>
    <col min="9489" max="9489" width="0" style="72" hidden="1" customWidth="1"/>
    <col min="9490" max="9490" width="3.5703125" style="72" customWidth="1"/>
    <col min="9491" max="9491" width="3.42578125" style="72" customWidth="1"/>
    <col min="9492" max="9493" width="3.5703125" style="72" customWidth="1"/>
    <col min="9494" max="9728" width="9.140625" style="72"/>
    <col min="9729" max="9729" width="7.42578125" style="72" customWidth="1"/>
    <col min="9730" max="9730" width="9.42578125" style="72" customWidth="1"/>
    <col min="9731" max="9733" width="9.140625" style="72"/>
    <col min="9734" max="9739" width="3.7109375" style="72" customWidth="1"/>
    <col min="9740" max="9741" width="3.5703125" style="72" customWidth="1"/>
    <col min="9742" max="9742" width="4.85546875" style="72" customWidth="1"/>
    <col min="9743" max="9743" width="3.7109375" style="72" customWidth="1"/>
    <col min="9744" max="9744" width="5.28515625" style="72" customWidth="1"/>
    <col min="9745" max="9745" width="0" style="72" hidden="1" customWidth="1"/>
    <col min="9746" max="9746" width="3.5703125" style="72" customWidth="1"/>
    <col min="9747" max="9747" width="3.42578125" style="72" customWidth="1"/>
    <col min="9748" max="9749" width="3.5703125" style="72" customWidth="1"/>
    <col min="9750" max="9984" width="9.140625" style="72"/>
    <col min="9985" max="9985" width="7.42578125" style="72" customWidth="1"/>
    <col min="9986" max="9986" width="9.42578125" style="72" customWidth="1"/>
    <col min="9987" max="9989" width="9.140625" style="72"/>
    <col min="9990" max="9995" width="3.7109375" style="72" customWidth="1"/>
    <col min="9996" max="9997" width="3.5703125" style="72" customWidth="1"/>
    <col min="9998" max="9998" width="4.85546875" style="72" customWidth="1"/>
    <col min="9999" max="9999" width="3.7109375" style="72" customWidth="1"/>
    <col min="10000" max="10000" width="5.28515625" style="72" customWidth="1"/>
    <col min="10001" max="10001" width="0" style="72" hidden="1" customWidth="1"/>
    <col min="10002" max="10002" width="3.5703125" style="72" customWidth="1"/>
    <col min="10003" max="10003" width="3.42578125" style="72" customWidth="1"/>
    <col min="10004" max="10005" width="3.5703125" style="72" customWidth="1"/>
    <col min="10006" max="10240" width="9.140625" style="72"/>
    <col min="10241" max="10241" width="7.42578125" style="72" customWidth="1"/>
    <col min="10242" max="10242" width="9.42578125" style="72" customWidth="1"/>
    <col min="10243" max="10245" width="9.140625" style="72"/>
    <col min="10246" max="10251" width="3.7109375" style="72" customWidth="1"/>
    <col min="10252" max="10253" width="3.5703125" style="72" customWidth="1"/>
    <col min="10254" max="10254" width="4.85546875" style="72" customWidth="1"/>
    <col min="10255" max="10255" width="3.7109375" style="72" customWidth="1"/>
    <col min="10256" max="10256" width="5.28515625" style="72" customWidth="1"/>
    <col min="10257" max="10257" width="0" style="72" hidden="1" customWidth="1"/>
    <col min="10258" max="10258" width="3.5703125" style="72" customWidth="1"/>
    <col min="10259" max="10259" width="3.42578125" style="72" customWidth="1"/>
    <col min="10260" max="10261" width="3.5703125" style="72" customWidth="1"/>
    <col min="10262" max="10496" width="9.140625" style="72"/>
    <col min="10497" max="10497" width="7.42578125" style="72" customWidth="1"/>
    <col min="10498" max="10498" width="9.42578125" style="72" customWidth="1"/>
    <col min="10499" max="10501" width="9.140625" style="72"/>
    <col min="10502" max="10507" width="3.7109375" style="72" customWidth="1"/>
    <col min="10508" max="10509" width="3.5703125" style="72" customWidth="1"/>
    <col min="10510" max="10510" width="4.85546875" style="72" customWidth="1"/>
    <col min="10511" max="10511" width="3.7109375" style="72" customWidth="1"/>
    <col min="10512" max="10512" width="5.28515625" style="72" customWidth="1"/>
    <col min="10513" max="10513" width="0" style="72" hidden="1" customWidth="1"/>
    <col min="10514" max="10514" width="3.5703125" style="72" customWidth="1"/>
    <col min="10515" max="10515" width="3.42578125" style="72" customWidth="1"/>
    <col min="10516" max="10517" width="3.5703125" style="72" customWidth="1"/>
    <col min="10518" max="10752" width="9.140625" style="72"/>
    <col min="10753" max="10753" width="7.42578125" style="72" customWidth="1"/>
    <col min="10754" max="10754" width="9.42578125" style="72" customWidth="1"/>
    <col min="10755" max="10757" width="9.140625" style="72"/>
    <col min="10758" max="10763" width="3.7109375" style="72" customWidth="1"/>
    <col min="10764" max="10765" width="3.5703125" style="72" customWidth="1"/>
    <col min="10766" max="10766" width="4.85546875" style="72" customWidth="1"/>
    <col min="10767" max="10767" width="3.7109375" style="72" customWidth="1"/>
    <col min="10768" max="10768" width="5.28515625" style="72" customWidth="1"/>
    <col min="10769" max="10769" width="0" style="72" hidden="1" customWidth="1"/>
    <col min="10770" max="10770" width="3.5703125" style="72" customWidth="1"/>
    <col min="10771" max="10771" width="3.42578125" style="72" customWidth="1"/>
    <col min="10772" max="10773" width="3.5703125" style="72" customWidth="1"/>
    <col min="10774" max="11008" width="9.140625" style="72"/>
    <col min="11009" max="11009" width="7.42578125" style="72" customWidth="1"/>
    <col min="11010" max="11010" width="9.42578125" style="72" customWidth="1"/>
    <col min="11011" max="11013" width="9.140625" style="72"/>
    <col min="11014" max="11019" width="3.7109375" style="72" customWidth="1"/>
    <col min="11020" max="11021" width="3.5703125" style="72" customWidth="1"/>
    <col min="11022" max="11022" width="4.85546875" style="72" customWidth="1"/>
    <col min="11023" max="11023" width="3.7109375" style="72" customWidth="1"/>
    <col min="11024" max="11024" width="5.28515625" style="72" customWidth="1"/>
    <col min="11025" max="11025" width="0" style="72" hidden="1" customWidth="1"/>
    <col min="11026" max="11026" width="3.5703125" style="72" customWidth="1"/>
    <col min="11027" max="11027" width="3.42578125" style="72" customWidth="1"/>
    <col min="11028" max="11029" width="3.5703125" style="72" customWidth="1"/>
    <col min="11030" max="11264" width="9.140625" style="72"/>
    <col min="11265" max="11265" width="7.42578125" style="72" customWidth="1"/>
    <col min="11266" max="11266" width="9.42578125" style="72" customWidth="1"/>
    <col min="11267" max="11269" width="9.140625" style="72"/>
    <col min="11270" max="11275" width="3.7109375" style="72" customWidth="1"/>
    <col min="11276" max="11277" width="3.5703125" style="72" customWidth="1"/>
    <col min="11278" max="11278" width="4.85546875" style="72" customWidth="1"/>
    <col min="11279" max="11279" width="3.7109375" style="72" customWidth="1"/>
    <col min="11280" max="11280" width="5.28515625" style="72" customWidth="1"/>
    <col min="11281" max="11281" width="0" style="72" hidden="1" customWidth="1"/>
    <col min="11282" max="11282" width="3.5703125" style="72" customWidth="1"/>
    <col min="11283" max="11283" width="3.42578125" style="72" customWidth="1"/>
    <col min="11284" max="11285" width="3.5703125" style="72" customWidth="1"/>
    <col min="11286" max="11520" width="9.140625" style="72"/>
    <col min="11521" max="11521" width="7.42578125" style="72" customWidth="1"/>
    <col min="11522" max="11522" width="9.42578125" style="72" customWidth="1"/>
    <col min="11523" max="11525" width="9.140625" style="72"/>
    <col min="11526" max="11531" width="3.7109375" style="72" customWidth="1"/>
    <col min="11532" max="11533" width="3.5703125" style="72" customWidth="1"/>
    <col min="11534" max="11534" width="4.85546875" style="72" customWidth="1"/>
    <col min="11535" max="11535" width="3.7109375" style="72" customWidth="1"/>
    <col min="11536" max="11536" width="5.28515625" style="72" customWidth="1"/>
    <col min="11537" max="11537" width="0" style="72" hidden="1" customWidth="1"/>
    <col min="11538" max="11538" width="3.5703125" style="72" customWidth="1"/>
    <col min="11539" max="11539" width="3.42578125" style="72" customWidth="1"/>
    <col min="11540" max="11541" width="3.5703125" style="72" customWidth="1"/>
    <col min="11542" max="11776" width="9.140625" style="72"/>
    <col min="11777" max="11777" width="7.42578125" style="72" customWidth="1"/>
    <col min="11778" max="11778" width="9.42578125" style="72" customWidth="1"/>
    <col min="11779" max="11781" width="9.140625" style="72"/>
    <col min="11782" max="11787" width="3.7109375" style="72" customWidth="1"/>
    <col min="11788" max="11789" width="3.5703125" style="72" customWidth="1"/>
    <col min="11790" max="11790" width="4.85546875" style="72" customWidth="1"/>
    <col min="11791" max="11791" width="3.7109375" style="72" customWidth="1"/>
    <col min="11792" max="11792" width="5.28515625" style="72" customWidth="1"/>
    <col min="11793" max="11793" width="0" style="72" hidden="1" customWidth="1"/>
    <col min="11794" max="11794" width="3.5703125" style="72" customWidth="1"/>
    <col min="11795" max="11795" width="3.42578125" style="72" customWidth="1"/>
    <col min="11796" max="11797" width="3.5703125" style="72" customWidth="1"/>
    <col min="11798" max="12032" width="9.140625" style="72"/>
    <col min="12033" max="12033" width="7.42578125" style="72" customWidth="1"/>
    <col min="12034" max="12034" width="9.42578125" style="72" customWidth="1"/>
    <col min="12035" max="12037" width="9.140625" style="72"/>
    <col min="12038" max="12043" width="3.7109375" style="72" customWidth="1"/>
    <col min="12044" max="12045" width="3.5703125" style="72" customWidth="1"/>
    <col min="12046" max="12046" width="4.85546875" style="72" customWidth="1"/>
    <col min="12047" max="12047" width="3.7109375" style="72" customWidth="1"/>
    <col min="12048" max="12048" width="5.28515625" style="72" customWidth="1"/>
    <col min="12049" max="12049" width="0" style="72" hidden="1" customWidth="1"/>
    <col min="12050" max="12050" width="3.5703125" style="72" customWidth="1"/>
    <col min="12051" max="12051" width="3.42578125" style="72" customWidth="1"/>
    <col min="12052" max="12053" width="3.5703125" style="72" customWidth="1"/>
    <col min="12054" max="12288" width="9.140625" style="72"/>
    <col min="12289" max="12289" width="7.42578125" style="72" customWidth="1"/>
    <col min="12290" max="12290" width="9.42578125" style="72" customWidth="1"/>
    <col min="12291" max="12293" width="9.140625" style="72"/>
    <col min="12294" max="12299" width="3.7109375" style="72" customWidth="1"/>
    <col min="12300" max="12301" width="3.5703125" style="72" customWidth="1"/>
    <col min="12302" max="12302" width="4.85546875" style="72" customWidth="1"/>
    <col min="12303" max="12303" width="3.7109375" style="72" customWidth="1"/>
    <col min="12304" max="12304" width="5.28515625" style="72" customWidth="1"/>
    <col min="12305" max="12305" width="0" style="72" hidden="1" customWidth="1"/>
    <col min="12306" max="12306" width="3.5703125" style="72" customWidth="1"/>
    <col min="12307" max="12307" width="3.42578125" style="72" customWidth="1"/>
    <col min="12308" max="12309" width="3.5703125" style="72" customWidth="1"/>
    <col min="12310" max="12544" width="9.140625" style="72"/>
    <col min="12545" max="12545" width="7.42578125" style="72" customWidth="1"/>
    <col min="12546" max="12546" width="9.42578125" style="72" customWidth="1"/>
    <col min="12547" max="12549" width="9.140625" style="72"/>
    <col min="12550" max="12555" width="3.7109375" style="72" customWidth="1"/>
    <col min="12556" max="12557" width="3.5703125" style="72" customWidth="1"/>
    <col min="12558" max="12558" width="4.85546875" style="72" customWidth="1"/>
    <col min="12559" max="12559" width="3.7109375" style="72" customWidth="1"/>
    <col min="12560" max="12560" width="5.28515625" style="72" customWidth="1"/>
    <col min="12561" max="12561" width="0" style="72" hidden="1" customWidth="1"/>
    <col min="12562" max="12562" width="3.5703125" style="72" customWidth="1"/>
    <col min="12563" max="12563" width="3.42578125" style="72" customWidth="1"/>
    <col min="12564" max="12565" width="3.5703125" style="72" customWidth="1"/>
    <col min="12566" max="12800" width="9.140625" style="72"/>
    <col min="12801" max="12801" width="7.42578125" style="72" customWidth="1"/>
    <col min="12802" max="12802" width="9.42578125" style="72" customWidth="1"/>
    <col min="12803" max="12805" width="9.140625" style="72"/>
    <col min="12806" max="12811" width="3.7109375" style="72" customWidth="1"/>
    <col min="12812" max="12813" width="3.5703125" style="72" customWidth="1"/>
    <col min="12814" max="12814" width="4.85546875" style="72" customWidth="1"/>
    <col min="12815" max="12815" width="3.7109375" style="72" customWidth="1"/>
    <col min="12816" max="12816" width="5.28515625" style="72" customWidth="1"/>
    <col min="12817" max="12817" width="0" style="72" hidden="1" customWidth="1"/>
    <col min="12818" max="12818" width="3.5703125" style="72" customWidth="1"/>
    <col min="12819" max="12819" width="3.42578125" style="72" customWidth="1"/>
    <col min="12820" max="12821" width="3.5703125" style="72" customWidth="1"/>
    <col min="12822" max="13056" width="9.140625" style="72"/>
    <col min="13057" max="13057" width="7.42578125" style="72" customWidth="1"/>
    <col min="13058" max="13058" width="9.42578125" style="72" customWidth="1"/>
    <col min="13059" max="13061" width="9.140625" style="72"/>
    <col min="13062" max="13067" width="3.7109375" style="72" customWidth="1"/>
    <col min="13068" max="13069" width="3.5703125" style="72" customWidth="1"/>
    <col min="13070" max="13070" width="4.85546875" style="72" customWidth="1"/>
    <col min="13071" max="13071" width="3.7109375" style="72" customWidth="1"/>
    <col min="13072" max="13072" width="5.28515625" style="72" customWidth="1"/>
    <col min="13073" max="13073" width="0" style="72" hidden="1" customWidth="1"/>
    <col min="13074" max="13074" width="3.5703125" style="72" customWidth="1"/>
    <col min="13075" max="13075" width="3.42578125" style="72" customWidth="1"/>
    <col min="13076" max="13077" width="3.5703125" style="72" customWidth="1"/>
    <col min="13078" max="13312" width="9.140625" style="72"/>
    <col min="13313" max="13313" width="7.42578125" style="72" customWidth="1"/>
    <col min="13314" max="13314" width="9.42578125" style="72" customWidth="1"/>
    <col min="13315" max="13317" width="9.140625" style="72"/>
    <col min="13318" max="13323" width="3.7109375" style="72" customWidth="1"/>
    <col min="13324" max="13325" width="3.5703125" style="72" customWidth="1"/>
    <col min="13326" max="13326" width="4.85546875" style="72" customWidth="1"/>
    <col min="13327" max="13327" width="3.7109375" style="72" customWidth="1"/>
    <col min="13328" max="13328" width="5.28515625" style="72" customWidth="1"/>
    <col min="13329" max="13329" width="0" style="72" hidden="1" customWidth="1"/>
    <col min="13330" max="13330" width="3.5703125" style="72" customWidth="1"/>
    <col min="13331" max="13331" width="3.42578125" style="72" customWidth="1"/>
    <col min="13332" max="13333" width="3.5703125" style="72" customWidth="1"/>
    <col min="13334" max="13568" width="9.140625" style="72"/>
    <col min="13569" max="13569" width="7.42578125" style="72" customWidth="1"/>
    <col min="13570" max="13570" width="9.42578125" style="72" customWidth="1"/>
    <col min="13571" max="13573" width="9.140625" style="72"/>
    <col min="13574" max="13579" width="3.7109375" style="72" customWidth="1"/>
    <col min="13580" max="13581" width="3.5703125" style="72" customWidth="1"/>
    <col min="13582" max="13582" width="4.85546875" style="72" customWidth="1"/>
    <col min="13583" max="13583" width="3.7109375" style="72" customWidth="1"/>
    <col min="13584" max="13584" width="5.28515625" style="72" customWidth="1"/>
    <col min="13585" max="13585" width="0" style="72" hidden="1" customWidth="1"/>
    <col min="13586" max="13586" width="3.5703125" style="72" customWidth="1"/>
    <col min="13587" max="13587" width="3.42578125" style="72" customWidth="1"/>
    <col min="13588" max="13589" width="3.5703125" style="72" customWidth="1"/>
    <col min="13590" max="13824" width="9.140625" style="72"/>
    <col min="13825" max="13825" width="7.42578125" style="72" customWidth="1"/>
    <col min="13826" max="13826" width="9.42578125" style="72" customWidth="1"/>
    <col min="13827" max="13829" width="9.140625" style="72"/>
    <col min="13830" max="13835" width="3.7109375" style="72" customWidth="1"/>
    <col min="13836" max="13837" width="3.5703125" style="72" customWidth="1"/>
    <col min="13838" max="13838" width="4.85546875" style="72" customWidth="1"/>
    <col min="13839" max="13839" width="3.7109375" style="72" customWidth="1"/>
    <col min="13840" max="13840" width="5.28515625" style="72" customWidth="1"/>
    <col min="13841" max="13841" width="0" style="72" hidden="1" customWidth="1"/>
    <col min="13842" max="13842" width="3.5703125" style="72" customWidth="1"/>
    <col min="13843" max="13843" width="3.42578125" style="72" customWidth="1"/>
    <col min="13844" max="13845" width="3.5703125" style="72" customWidth="1"/>
    <col min="13846" max="14080" width="9.140625" style="72"/>
    <col min="14081" max="14081" width="7.42578125" style="72" customWidth="1"/>
    <col min="14082" max="14082" width="9.42578125" style="72" customWidth="1"/>
    <col min="14083" max="14085" width="9.140625" style="72"/>
    <col min="14086" max="14091" width="3.7109375" style="72" customWidth="1"/>
    <col min="14092" max="14093" width="3.5703125" style="72" customWidth="1"/>
    <col min="14094" max="14094" width="4.85546875" style="72" customWidth="1"/>
    <col min="14095" max="14095" width="3.7109375" style="72" customWidth="1"/>
    <col min="14096" max="14096" width="5.28515625" style="72" customWidth="1"/>
    <col min="14097" max="14097" width="0" style="72" hidden="1" customWidth="1"/>
    <col min="14098" max="14098" width="3.5703125" style="72" customWidth="1"/>
    <col min="14099" max="14099" width="3.42578125" style="72" customWidth="1"/>
    <col min="14100" max="14101" width="3.5703125" style="72" customWidth="1"/>
    <col min="14102" max="14336" width="9.140625" style="72"/>
    <col min="14337" max="14337" width="7.42578125" style="72" customWidth="1"/>
    <col min="14338" max="14338" width="9.42578125" style="72" customWidth="1"/>
    <col min="14339" max="14341" width="9.140625" style="72"/>
    <col min="14342" max="14347" width="3.7109375" style="72" customWidth="1"/>
    <col min="14348" max="14349" width="3.5703125" style="72" customWidth="1"/>
    <col min="14350" max="14350" width="4.85546875" style="72" customWidth="1"/>
    <col min="14351" max="14351" width="3.7109375" style="72" customWidth="1"/>
    <col min="14352" max="14352" width="5.28515625" style="72" customWidth="1"/>
    <col min="14353" max="14353" width="0" style="72" hidden="1" customWidth="1"/>
    <col min="14354" max="14354" width="3.5703125" style="72" customWidth="1"/>
    <col min="14355" max="14355" width="3.42578125" style="72" customWidth="1"/>
    <col min="14356" max="14357" width="3.5703125" style="72" customWidth="1"/>
    <col min="14358" max="14592" width="9.140625" style="72"/>
    <col min="14593" max="14593" width="7.42578125" style="72" customWidth="1"/>
    <col min="14594" max="14594" width="9.42578125" style="72" customWidth="1"/>
    <col min="14595" max="14597" width="9.140625" style="72"/>
    <col min="14598" max="14603" width="3.7109375" style="72" customWidth="1"/>
    <col min="14604" max="14605" width="3.5703125" style="72" customWidth="1"/>
    <col min="14606" max="14606" width="4.85546875" style="72" customWidth="1"/>
    <col min="14607" max="14607" width="3.7109375" style="72" customWidth="1"/>
    <col min="14608" max="14608" width="5.28515625" style="72" customWidth="1"/>
    <col min="14609" max="14609" width="0" style="72" hidden="1" customWidth="1"/>
    <col min="14610" max="14610" width="3.5703125" style="72" customWidth="1"/>
    <col min="14611" max="14611" width="3.42578125" style="72" customWidth="1"/>
    <col min="14612" max="14613" width="3.5703125" style="72" customWidth="1"/>
    <col min="14614" max="14848" width="9.140625" style="72"/>
    <col min="14849" max="14849" width="7.42578125" style="72" customWidth="1"/>
    <col min="14850" max="14850" width="9.42578125" style="72" customWidth="1"/>
    <col min="14851" max="14853" width="9.140625" style="72"/>
    <col min="14854" max="14859" width="3.7109375" style="72" customWidth="1"/>
    <col min="14860" max="14861" width="3.5703125" style="72" customWidth="1"/>
    <col min="14862" max="14862" width="4.85546875" style="72" customWidth="1"/>
    <col min="14863" max="14863" width="3.7109375" style="72" customWidth="1"/>
    <col min="14864" max="14864" width="5.28515625" style="72" customWidth="1"/>
    <col min="14865" max="14865" width="0" style="72" hidden="1" customWidth="1"/>
    <col min="14866" max="14866" width="3.5703125" style="72" customWidth="1"/>
    <col min="14867" max="14867" width="3.42578125" style="72" customWidth="1"/>
    <col min="14868" max="14869" width="3.5703125" style="72" customWidth="1"/>
    <col min="14870" max="15104" width="9.140625" style="72"/>
    <col min="15105" max="15105" width="7.42578125" style="72" customWidth="1"/>
    <col min="15106" max="15106" width="9.42578125" style="72" customWidth="1"/>
    <col min="15107" max="15109" width="9.140625" style="72"/>
    <col min="15110" max="15115" width="3.7109375" style="72" customWidth="1"/>
    <col min="15116" max="15117" width="3.5703125" style="72" customWidth="1"/>
    <col min="15118" max="15118" width="4.85546875" style="72" customWidth="1"/>
    <col min="15119" max="15119" width="3.7109375" style="72" customWidth="1"/>
    <col min="15120" max="15120" width="5.28515625" style="72" customWidth="1"/>
    <col min="15121" max="15121" width="0" style="72" hidden="1" customWidth="1"/>
    <col min="15122" max="15122" width="3.5703125" style="72" customWidth="1"/>
    <col min="15123" max="15123" width="3.42578125" style="72" customWidth="1"/>
    <col min="15124" max="15125" width="3.5703125" style="72" customWidth="1"/>
    <col min="15126" max="15360" width="9.140625" style="72"/>
    <col min="15361" max="15361" width="7.42578125" style="72" customWidth="1"/>
    <col min="15362" max="15362" width="9.42578125" style="72" customWidth="1"/>
    <col min="15363" max="15365" width="9.140625" style="72"/>
    <col min="15366" max="15371" width="3.7109375" style="72" customWidth="1"/>
    <col min="15372" max="15373" width="3.5703125" style="72" customWidth="1"/>
    <col min="15374" max="15374" width="4.85546875" style="72" customWidth="1"/>
    <col min="15375" max="15375" width="3.7109375" style="72" customWidth="1"/>
    <col min="15376" max="15376" width="5.28515625" style="72" customWidth="1"/>
    <col min="15377" max="15377" width="0" style="72" hidden="1" customWidth="1"/>
    <col min="15378" max="15378" width="3.5703125" style="72" customWidth="1"/>
    <col min="15379" max="15379" width="3.42578125" style="72" customWidth="1"/>
    <col min="15380" max="15381" width="3.5703125" style="72" customWidth="1"/>
    <col min="15382" max="15616" width="9.140625" style="72"/>
    <col min="15617" max="15617" width="7.42578125" style="72" customWidth="1"/>
    <col min="15618" max="15618" width="9.42578125" style="72" customWidth="1"/>
    <col min="15619" max="15621" width="9.140625" style="72"/>
    <col min="15622" max="15627" width="3.7109375" style="72" customWidth="1"/>
    <col min="15628" max="15629" width="3.5703125" style="72" customWidth="1"/>
    <col min="15630" max="15630" width="4.85546875" style="72" customWidth="1"/>
    <col min="15631" max="15631" width="3.7109375" style="72" customWidth="1"/>
    <col min="15632" max="15632" width="5.28515625" style="72" customWidth="1"/>
    <col min="15633" max="15633" width="0" style="72" hidden="1" customWidth="1"/>
    <col min="15634" max="15634" width="3.5703125" style="72" customWidth="1"/>
    <col min="15635" max="15635" width="3.42578125" style="72" customWidth="1"/>
    <col min="15636" max="15637" width="3.5703125" style="72" customWidth="1"/>
    <col min="15638" max="15872" width="9.140625" style="72"/>
    <col min="15873" max="15873" width="7.42578125" style="72" customWidth="1"/>
    <col min="15874" max="15874" width="9.42578125" style="72" customWidth="1"/>
    <col min="15875" max="15877" width="9.140625" style="72"/>
    <col min="15878" max="15883" width="3.7109375" style="72" customWidth="1"/>
    <col min="15884" max="15885" width="3.5703125" style="72" customWidth="1"/>
    <col min="15886" max="15886" width="4.85546875" style="72" customWidth="1"/>
    <col min="15887" max="15887" width="3.7109375" style="72" customWidth="1"/>
    <col min="15888" max="15888" width="5.28515625" style="72" customWidth="1"/>
    <col min="15889" max="15889" width="0" style="72" hidden="1" customWidth="1"/>
    <col min="15890" max="15890" width="3.5703125" style="72" customWidth="1"/>
    <col min="15891" max="15891" width="3.42578125" style="72" customWidth="1"/>
    <col min="15892" max="15893" width="3.5703125" style="72" customWidth="1"/>
    <col min="15894" max="16128" width="9.140625" style="72"/>
    <col min="16129" max="16129" width="7.42578125" style="72" customWidth="1"/>
    <col min="16130" max="16130" width="9.42578125" style="72" customWidth="1"/>
    <col min="16131" max="16133" width="9.140625" style="72"/>
    <col min="16134" max="16139" width="3.7109375" style="72" customWidth="1"/>
    <col min="16140" max="16141" width="3.5703125" style="72" customWidth="1"/>
    <col min="16142" max="16142" width="4.85546875" style="72" customWidth="1"/>
    <col min="16143" max="16143" width="3.7109375" style="72" customWidth="1"/>
    <col min="16144" max="16144" width="5.28515625" style="72" customWidth="1"/>
    <col min="16145" max="16145" width="0" style="72" hidden="1" customWidth="1"/>
    <col min="16146" max="16146" width="3.5703125" style="72" customWidth="1"/>
    <col min="16147" max="16147" width="3.42578125" style="72" customWidth="1"/>
    <col min="16148" max="16149" width="3.5703125" style="72" customWidth="1"/>
    <col min="16150" max="16384" width="9.140625" style="72"/>
  </cols>
  <sheetData>
    <row r="1" spans="1:21" ht="12.75" customHeight="1" x14ac:dyDescent="0.2"/>
    <row r="2" spans="1:21" ht="12.75" customHeight="1" x14ac:dyDescent="0.2">
      <c r="A2" s="172" t="s">
        <v>4</v>
      </c>
      <c r="B2" s="171" t="s">
        <v>5</v>
      </c>
      <c r="G2" s="173" t="s">
        <v>6</v>
      </c>
      <c r="H2" s="174"/>
      <c r="I2" s="405" t="str">
        <f>project_station</f>
        <v>STATION NAME</v>
      </c>
      <c r="J2" s="405"/>
      <c r="K2" s="405"/>
      <c r="L2" s="405"/>
      <c r="M2" s="405"/>
      <c r="N2" s="405"/>
      <c r="O2" s="405"/>
      <c r="P2" s="405"/>
      <c r="Q2" s="405"/>
      <c r="R2" s="405"/>
      <c r="S2" s="176"/>
      <c r="T2" s="176"/>
      <c r="U2" s="176"/>
    </row>
    <row r="3" spans="1:21" ht="12.75" customHeight="1" x14ac:dyDescent="0.2">
      <c r="A3" s="172"/>
      <c r="B3" s="171" t="s">
        <v>234</v>
      </c>
      <c r="G3" s="173"/>
      <c r="H3" s="174"/>
      <c r="I3" s="405" t="str">
        <f>project_title</f>
        <v>PROJECT DESCRIPTION</v>
      </c>
      <c r="J3" s="405"/>
      <c r="K3" s="405"/>
      <c r="L3" s="405"/>
      <c r="M3" s="405"/>
      <c r="N3" s="405"/>
      <c r="O3" s="405"/>
      <c r="P3" s="405"/>
      <c r="Q3" s="405"/>
      <c r="R3" s="405"/>
      <c r="S3" s="176"/>
      <c r="T3" s="176"/>
      <c r="U3" s="176"/>
    </row>
    <row r="4" spans="1:21" ht="12.75" customHeight="1" x14ac:dyDescent="0.2">
      <c r="B4" s="171" t="s">
        <v>10</v>
      </c>
      <c r="G4" s="173" t="s">
        <v>9</v>
      </c>
      <c r="H4" s="177"/>
      <c r="I4" s="406" t="str">
        <f>contact_name</f>
        <v>JOE ENGINEER</v>
      </c>
      <c r="J4" s="406"/>
      <c r="K4" s="406"/>
      <c r="L4" s="406"/>
      <c r="M4" s="406"/>
      <c r="N4" s="406"/>
      <c r="P4" s="178" t="s">
        <v>25</v>
      </c>
      <c r="S4" s="176"/>
      <c r="T4" s="176"/>
      <c r="U4" s="176"/>
    </row>
    <row r="5" spans="1:21" ht="12.75" customHeight="1" x14ac:dyDescent="0.2">
      <c r="B5" s="171" t="s">
        <v>11</v>
      </c>
      <c r="G5" s="173" t="s">
        <v>12</v>
      </c>
      <c r="I5" s="407" t="s">
        <v>235</v>
      </c>
      <c r="J5" s="407"/>
      <c r="K5" s="407"/>
      <c r="L5" s="407"/>
      <c r="M5" s="407"/>
      <c r="N5" s="407"/>
      <c r="O5" s="175"/>
      <c r="P5" s="179" t="s">
        <v>236</v>
      </c>
      <c r="R5" s="175"/>
      <c r="S5" s="176"/>
      <c r="T5" s="176"/>
      <c r="U5" s="176"/>
    </row>
    <row r="6" spans="1:21" ht="12.75" customHeight="1" x14ac:dyDescent="0.2">
      <c r="B6" s="408" t="str">
        <f>"E-MAIL:  "&amp;contact_email</f>
        <v>E-MAIL:  joe@mail.com</v>
      </c>
      <c r="C6" s="408"/>
      <c r="D6" s="408"/>
      <c r="E6" s="408"/>
      <c r="P6" s="179" t="s">
        <v>152</v>
      </c>
      <c r="S6" s="176"/>
      <c r="T6" s="176"/>
      <c r="U6" s="176"/>
    </row>
    <row r="7" spans="1:21" ht="12.75" customHeight="1" x14ac:dyDescent="0.25">
      <c r="B7" s="180"/>
      <c r="H7" s="409" t="s">
        <v>237</v>
      </c>
      <c r="I7" s="410"/>
      <c r="J7" s="410"/>
      <c r="K7" s="410"/>
      <c r="L7" s="410"/>
      <c r="M7" s="410"/>
      <c r="N7" s="411"/>
      <c r="P7" s="179" t="s">
        <v>153</v>
      </c>
      <c r="R7" s="181"/>
      <c r="S7" s="181"/>
      <c r="T7" s="181"/>
      <c r="U7" s="181"/>
    </row>
    <row r="8" spans="1:21" ht="12.75" customHeight="1" x14ac:dyDescent="0.25">
      <c r="B8" s="180"/>
      <c r="H8" s="436" t="s">
        <v>238</v>
      </c>
      <c r="I8" s="436" t="s">
        <v>239</v>
      </c>
      <c r="J8" s="436"/>
      <c r="K8" s="436"/>
      <c r="L8" s="423" t="s">
        <v>240</v>
      </c>
      <c r="M8" s="424"/>
      <c r="N8" s="425"/>
      <c r="P8" s="179" t="s">
        <v>155</v>
      </c>
      <c r="R8" s="181"/>
      <c r="S8" s="181"/>
      <c r="T8" s="181"/>
      <c r="U8" s="181"/>
    </row>
    <row r="9" spans="1:21" ht="12.75" customHeight="1" x14ac:dyDescent="0.25">
      <c r="A9" s="182"/>
      <c r="B9" s="182"/>
      <c r="C9" s="182"/>
      <c r="D9" s="182"/>
      <c r="E9" s="182"/>
      <c r="F9" s="182"/>
      <c r="G9" s="182"/>
      <c r="H9" s="437"/>
      <c r="I9" s="437"/>
      <c r="J9" s="437"/>
      <c r="K9" s="437"/>
      <c r="L9" s="426"/>
      <c r="M9" s="427"/>
      <c r="N9" s="428"/>
      <c r="P9" s="179" t="s">
        <v>157</v>
      </c>
      <c r="R9" s="181"/>
      <c r="S9" s="181"/>
      <c r="T9" s="181"/>
      <c r="U9" s="181"/>
    </row>
    <row r="10" spans="1:21" ht="12.75" customHeight="1" x14ac:dyDescent="0.25">
      <c r="A10" s="183" t="s">
        <v>144</v>
      </c>
      <c r="B10" s="184"/>
      <c r="C10" s="211" t="s">
        <v>241</v>
      </c>
      <c r="D10" s="185"/>
      <c r="E10" s="186" t="s">
        <v>226</v>
      </c>
      <c r="F10" s="187"/>
      <c r="G10" s="187"/>
      <c r="H10" s="188" t="s">
        <v>18</v>
      </c>
      <c r="I10" s="188" t="s">
        <v>232</v>
      </c>
      <c r="J10" s="188"/>
      <c r="K10" s="189"/>
      <c r="L10" s="190" t="s">
        <v>242</v>
      </c>
      <c r="M10" s="191"/>
      <c r="N10" s="192"/>
      <c r="P10" s="178" t="s">
        <v>243</v>
      </c>
      <c r="R10" s="181"/>
      <c r="S10" s="181"/>
      <c r="T10" s="181"/>
      <c r="U10" s="181"/>
    </row>
    <row r="11" spans="1:21" ht="12.75" customHeight="1" x14ac:dyDescent="0.25">
      <c r="A11" s="193" t="s">
        <v>244</v>
      </c>
      <c r="B11" s="193"/>
      <c r="C11" s="193"/>
      <c r="D11" s="193"/>
      <c r="E11" s="193"/>
      <c r="F11" s="193"/>
      <c r="G11" s="193"/>
      <c r="H11" s="194">
        <v>2</v>
      </c>
      <c r="I11" s="194">
        <v>1</v>
      </c>
      <c r="J11" s="194"/>
      <c r="K11" s="195"/>
      <c r="L11" s="420" t="s">
        <v>13</v>
      </c>
      <c r="M11" s="421"/>
      <c r="N11" s="422"/>
      <c r="P11" s="179" t="s">
        <v>27</v>
      </c>
      <c r="R11" s="181"/>
      <c r="S11" s="181"/>
      <c r="T11" s="181"/>
      <c r="U11" s="181"/>
    </row>
    <row r="12" spans="1:21" ht="12.75" customHeight="1" x14ac:dyDescent="0.25">
      <c r="A12" s="193"/>
      <c r="B12" s="193"/>
      <c r="C12" s="193"/>
      <c r="D12" s="193"/>
      <c r="E12" s="193"/>
      <c r="F12" s="193"/>
      <c r="G12" s="193"/>
      <c r="H12" s="194"/>
      <c r="I12" s="194"/>
      <c r="J12" s="194"/>
      <c r="K12" s="195"/>
      <c r="L12" s="423"/>
      <c r="M12" s="424"/>
      <c r="N12" s="425"/>
      <c r="P12" s="179" t="s">
        <v>151</v>
      </c>
      <c r="R12" s="181"/>
      <c r="S12" s="181"/>
      <c r="T12" s="181"/>
      <c r="U12" s="181"/>
    </row>
    <row r="13" spans="1:21" ht="12.75" customHeight="1" x14ac:dyDescent="0.25">
      <c r="A13" s="193"/>
      <c r="B13" s="193"/>
      <c r="C13" s="193"/>
      <c r="D13" s="193"/>
      <c r="E13" s="193"/>
      <c r="F13" s="193"/>
      <c r="G13" s="193"/>
      <c r="H13" s="194"/>
      <c r="I13" s="194"/>
      <c r="J13" s="194"/>
      <c r="K13" s="195"/>
      <c r="L13" s="423"/>
      <c r="M13" s="424"/>
      <c r="N13" s="425"/>
      <c r="P13" s="179" t="s">
        <v>34</v>
      </c>
      <c r="R13" s="181"/>
      <c r="S13" s="181"/>
      <c r="T13" s="181"/>
      <c r="U13" s="181"/>
    </row>
    <row r="14" spans="1:21" ht="12.75" customHeight="1" x14ac:dyDescent="0.25">
      <c r="A14" s="193"/>
      <c r="B14" s="193"/>
      <c r="C14" s="193"/>
      <c r="D14" s="193"/>
      <c r="E14" s="193"/>
      <c r="F14" s="193"/>
      <c r="G14" s="193"/>
      <c r="H14" s="194"/>
      <c r="I14" s="194"/>
      <c r="J14" s="194"/>
      <c r="K14" s="195"/>
      <c r="L14" s="426"/>
      <c r="M14" s="427"/>
      <c r="N14" s="428"/>
      <c r="P14" s="196" t="s">
        <v>37</v>
      </c>
      <c r="R14" s="181"/>
      <c r="S14" s="181"/>
      <c r="T14" s="181"/>
      <c r="U14" s="181"/>
    </row>
    <row r="15" spans="1:21" ht="12.75" customHeight="1" x14ac:dyDescent="0.25">
      <c r="A15" s="197"/>
      <c r="B15" s="197"/>
      <c r="C15" s="197"/>
      <c r="D15" s="197"/>
      <c r="E15" s="197"/>
      <c r="F15" s="197"/>
      <c r="G15" s="197"/>
      <c r="H15" s="197"/>
      <c r="I15" s="197"/>
      <c r="J15" s="197"/>
      <c r="K15" s="197"/>
      <c r="L15" s="197"/>
      <c r="M15" s="197"/>
      <c r="N15" s="197"/>
      <c r="O15" s="197"/>
      <c r="P15" s="179" t="s">
        <v>245</v>
      </c>
      <c r="R15" s="181"/>
      <c r="T15" s="198"/>
      <c r="U15" s="198"/>
    </row>
    <row r="16" spans="1:21" ht="12.75" customHeight="1" x14ac:dyDescent="0.25">
      <c r="A16" s="199" t="s">
        <v>23</v>
      </c>
      <c r="B16" s="200"/>
      <c r="C16" s="200"/>
      <c r="D16" s="200"/>
      <c r="E16" s="200"/>
      <c r="F16" s="200"/>
      <c r="G16" s="200"/>
      <c r="H16" s="200"/>
      <c r="I16" s="200"/>
      <c r="J16" s="201"/>
      <c r="K16" s="201"/>
      <c r="L16" s="201"/>
      <c r="M16" s="201"/>
      <c r="N16" s="201"/>
      <c r="O16" s="198"/>
      <c r="P16" s="179" t="s">
        <v>246</v>
      </c>
      <c r="R16" s="181"/>
      <c r="S16" s="181"/>
      <c r="T16" s="197"/>
      <c r="U16" s="197"/>
    </row>
    <row r="17" spans="1:22" ht="12.75" customHeight="1" x14ac:dyDescent="0.25">
      <c r="A17" s="429" t="s">
        <v>247</v>
      </c>
      <c r="B17" s="429"/>
      <c r="C17" s="429"/>
      <c r="D17" s="429"/>
      <c r="E17" s="429"/>
      <c r="F17" s="429"/>
      <c r="G17" s="429"/>
      <c r="H17" s="429"/>
      <c r="I17" s="429"/>
      <c r="J17" s="429"/>
      <c r="K17" s="429"/>
      <c r="L17" s="429"/>
      <c r="M17" s="429"/>
      <c r="N17" s="429"/>
      <c r="O17" s="202"/>
      <c r="P17" s="196" t="s">
        <v>31</v>
      </c>
      <c r="R17" s="181"/>
      <c r="S17" s="181"/>
      <c r="T17" s="202"/>
      <c r="U17" s="202"/>
    </row>
    <row r="18" spans="1:22" ht="12.75" customHeight="1" x14ac:dyDescent="0.25">
      <c r="A18" s="429"/>
      <c r="B18" s="429"/>
      <c r="C18" s="429"/>
      <c r="D18" s="429"/>
      <c r="E18" s="429"/>
      <c r="F18" s="429"/>
      <c r="G18" s="429"/>
      <c r="H18" s="429"/>
      <c r="I18" s="429"/>
      <c r="J18" s="429"/>
      <c r="K18" s="429"/>
      <c r="L18" s="429"/>
      <c r="M18" s="429"/>
      <c r="N18" s="429"/>
      <c r="O18" s="202"/>
      <c r="P18" s="196" t="s">
        <v>248</v>
      </c>
      <c r="R18" s="181"/>
      <c r="S18" s="181"/>
      <c r="T18" s="202"/>
      <c r="U18" s="202"/>
    </row>
    <row r="19" spans="1:22" ht="12.75" customHeight="1" x14ac:dyDescent="0.25">
      <c r="A19" s="429"/>
      <c r="B19" s="429"/>
      <c r="C19" s="429"/>
      <c r="D19" s="429"/>
      <c r="E19" s="429"/>
      <c r="F19" s="429"/>
      <c r="G19" s="429"/>
      <c r="H19" s="429"/>
      <c r="I19" s="429"/>
      <c r="J19" s="429"/>
      <c r="K19" s="429"/>
      <c r="L19" s="429"/>
      <c r="M19" s="429"/>
      <c r="N19" s="429"/>
      <c r="O19" s="202"/>
      <c r="P19" s="196" t="s">
        <v>40</v>
      </c>
      <c r="R19" s="181"/>
      <c r="S19" s="181"/>
      <c r="T19" s="202"/>
      <c r="U19" s="202"/>
    </row>
    <row r="20" spans="1:22" ht="16.5" customHeight="1" x14ac:dyDescent="0.25">
      <c r="A20" s="457"/>
      <c r="B20" s="457"/>
      <c r="C20" s="457"/>
      <c r="D20" s="457"/>
      <c r="E20" s="457"/>
      <c r="F20" s="457"/>
      <c r="G20" s="457"/>
      <c r="H20" s="457"/>
      <c r="I20" s="457"/>
      <c r="J20" s="457"/>
      <c r="K20" s="457"/>
      <c r="L20" s="457"/>
      <c r="M20" s="457"/>
      <c r="N20" s="457"/>
      <c r="O20" s="202"/>
      <c r="P20" s="203" t="s">
        <v>158</v>
      </c>
      <c r="R20" s="181"/>
      <c r="S20" s="181"/>
      <c r="T20" s="202"/>
      <c r="U20" s="202"/>
    </row>
    <row r="21" spans="1:22" ht="12.75" customHeight="1" x14ac:dyDescent="0.2">
      <c r="A21" s="461"/>
      <c r="B21" s="461"/>
      <c r="C21" s="461"/>
      <c r="D21" s="461"/>
      <c r="E21" s="461"/>
      <c r="F21" s="461"/>
      <c r="G21" s="461"/>
      <c r="H21" s="461"/>
      <c r="I21" s="461"/>
      <c r="J21" s="461"/>
      <c r="K21" s="461"/>
      <c r="L21" s="461"/>
      <c r="M21" s="461"/>
      <c r="N21" s="461"/>
      <c r="O21" s="461"/>
      <c r="P21" s="461"/>
      <c r="Q21" s="461"/>
      <c r="R21" s="461"/>
      <c r="S21" s="461"/>
      <c r="T21" s="461"/>
      <c r="U21" s="461"/>
    </row>
    <row r="22" spans="1:22" ht="12.75" customHeight="1" x14ac:dyDescent="0.2">
      <c r="A22" s="432" t="s">
        <v>44</v>
      </c>
      <c r="B22" s="433" t="s">
        <v>45</v>
      </c>
      <c r="C22" s="433"/>
      <c r="D22" s="433"/>
      <c r="E22" s="433"/>
      <c r="F22" s="433"/>
      <c r="G22" s="433"/>
      <c r="H22" s="433"/>
      <c r="I22" s="433"/>
      <c r="J22" s="433"/>
      <c r="K22" s="433"/>
      <c r="L22" s="433"/>
      <c r="M22" s="433"/>
      <c r="N22" s="433"/>
      <c r="O22" s="432" t="s">
        <v>46</v>
      </c>
      <c r="P22" s="432"/>
      <c r="Q22" s="432"/>
      <c r="R22" s="432"/>
      <c r="S22" s="432"/>
      <c r="T22" s="434" t="s">
        <v>159</v>
      </c>
      <c r="U22" s="434"/>
    </row>
    <row r="23" spans="1:22" x14ac:dyDescent="0.2">
      <c r="A23" s="432"/>
      <c r="B23" s="432"/>
      <c r="C23" s="433"/>
      <c r="D23" s="433"/>
      <c r="E23" s="433"/>
      <c r="F23" s="433"/>
      <c r="G23" s="433"/>
      <c r="H23" s="433"/>
      <c r="I23" s="433"/>
      <c r="J23" s="433"/>
      <c r="K23" s="433"/>
      <c r="L23" s="433"/>
      <c r="M23" s="433"/>
      <c r="N23" s="433"/>
      <c r="O23" s="432"/>
      <c r="P23" s="432"/>
      <c r="Q23" s="432"/>
      <c r="R23" s="432"/>
      <c r="S23" s="432"/>
      <c r="T23" s="435" t="s">
        <v>160</v>
      </c>
      <c r="U23" s="435"/>
    </row>
    <row r="24" spans="1:22" x14ac:dyDescent="0.2">
      <c r="A24" s="204">
        <v>1</v>
      </c>
      <c r="B24" s="205" t="s">
        <v>249</v>
      </c>
      <c r="C24" s="193"/>
      <c r="D24" s="193"/>
      <c r="E24" s="193"/>
      <c r="F24" s="193"/>
      <c r="G24" s="193"/>
      <c r="H24" s="193"/>
      <c r="I24" s="193"/>
      <c r="J24" s="193"/>
      <c r="K24" s="193"/>
      <c r="L24" s="193"/>
      <c r="M24" s="193"/>
      <c r="N24" s="206"/>
      <c r="O24" s="458" t="s">
        <v>250</v>
      </c>
      <c r="P24" s="459"/>
      <c r="Q24" s="459"/>
      <c r="R24" s="459"/>
      <c r="S24" s="460"/>
      <c r="T24" s="418">
        <v>2</v>
      </c>
      <c r="U24" s="419"/>
    </row>
    <row r="25" spans="1:22" x14ac:dyDescent="0.2">
      <c r="A25" s="204">
        <f t="shared" ref="A25:A88" si="0">A24+1</f>
        <v>2</v>
      </c>
      <c r="B25" s="205" t="s">
        <v>251</v>
      </c>
      <c r="C25" s="193"/>
      <c r="D25" s="193"/>
      <c r="E25" s="193"/>
      <c r="F25" s="193"/>
      <c r="G25" s="193"/>
      <c r="H25" s="193"/>
      <c r="I25" s="193"/>
      <c r="J25" s="193"/>
      <c r="K25" s="193"/>
      <c r="L25" s="193"/>
      <c r="M25" s="193"/>
      <c r="N25" s="206"/>
      <c r="O25" s="458" t="s">
        <v>252</v>
      </c>
      <c r="P25" s="459"/>
      <c r="Q25" s="459"/>
      <c r="R25" s="459"/>
      <c r="S25" s="460"/>
      <c r="T25" s="418">
        <v>9</v>
      </c>
      <c r="U25" s="419"/>
    </row>
    <row r="26" spans="1:22" s="101" customFormat="1" x14ac:dyDescent="0.2">
      <c r="A26" s="204">
        <f t="shared" si="0"/>
        <v>3</v>
      </c>
      <c r="B26" s="205" t="s">
        <v>253</v>
      </c>
      <c r="C26" s="193"/>
      <c r="D26" s="193"/>
      <c r="E26" s="193"/>
      <c r="F26" s="193"/>
      <c r="G26" s="193"/>
      <c r="H26" s="193"/>
      <c r="I26" s="193"/>
      <c r="J26" s="193"/>
      <c r="K26" s="193"/>
      <c r="L26" s="193"/>
      <c r="M26" s="193"/>
      <c r="N26" s="206"/>
      <c r="O26" s="458" t="s">
        <v>254</v>
      </c>
      <c r="P26" s="459"/>
      <c r="Q26" s="459"/>
      <c r="R26" s="459"/>
      <c r="S26" s="460"/>
      <c r="T26" s="418">
        <v>8</v>
      </c>
      <c r="U26" s="419"/>
      <c r="V26" s="72"/>
    </row>
    <row r="27" spans="1:22" x14ac:dyDescent="0.2">
      <c r="A27" s="204">
        <f t="shared" si="0"/>
        <v>4</v>
      </c>
      <c r="B27" s="205" t="s">
        <v>255</v>
      </c>
      <c r="C27" s="193"/>
      <c r="D27" s="193"/>
      <c r="E27" s="193"/>
      <c r="F27" s="193"/>
      <c r="G27" s="193"/>
      <c r="H27" s="193"/>
      <c r="I27" s="193"/>
      <c r="J27" s="193"/>
      <c r="K27" s="193"/>
      <c r="L27" s="193"/>
      <c r="M27" s="193"/>
      <c r="N27" s="206"/>
      <c r="O27" s="458" t="s">
        <v>256</v>
      </c>
      <c r="P27" s="459"/>
      <c r="Q27" s="459"/>
      <c r="R27" s="459"/>
      <c r="S27" s="460"/>
      <c r="T27" s="418">
        <v>6</v>
      </c>
      <c r="U27" s="419"/>
    </row>
    <row r="28" spans="1:22" x14ac:dyDescent="0.2">
      <c r="A28" s="204">
        <f t="shared" si="0"/>
        <v>5</v>
      </c>
      <c r="B28" s="205" t="s">
        <v>257</v>
      </c>
      <c r="C28" s="193"/>
      <c r="D28" s="193"/>
      <c r="E28" s="193"/>
      <c r="F28" s="193"/>
      <c r="G28" s="193"/>
      <c r="H28" s="193"/>
      <c r="I28" s="193"/>
      <c r="J28" s="193"/>
      <c r="K28" s="193"/>
      <c r="L28" s="193"/>
      <c r="M28" s="193"/>
      <c r="N28" s="206"/>
      <c r="O28" s="458" t="s">
        <v>258</v>
      </c>
      <c r="P28" s="459"/>
      <c r="Q28" s="459"/>
      <c r="R28" s="459"/>
      <c r="S28" s="460"/>
      <c r="T28" s="418">
        <v>8</v>
      </c>
      <c r="U28" s="419"/>
    </row>
    <row r="29" spans="1:22" x14ac:dyDescent="0.2">
      <c r="A29" s="204">
        <f t="shared" si="0"/>
        <v>6</v>
      </c>
      <c r="B29" s="205" t="s">
        <v>259</v>
      </c>
      <c r="C29" s="193"/>
      <c r="D29" s="193"/>
      <c r="E29" s="193"/>
      <c r="F29" s="193"/>
      <c r="G29" s="193"/>
      <c r="H29" s="193"/>
      <c r="I29" s="193"/>
      <c r="J29" s="193"/>
      <c r="K29" s="193"/>
      <c r="L29" s="193"/>
      <c r="M29" s="193"/>
      <c r="N29" s="206"/>
      <c r="O29" s="458" t="s">
        <v>260</v>
      </c>
      <c r="P29" s="459"/>
      <c r="Q29" s="459"/>
      <c r="R29" s="459"/>
      <c r="S29" s="460"/>
      <c r="T29" s="418">
        <v>6</v>
      </c>
      <c r="U29" s="419"/>
    </row>
    <row r="30" spans="1:22" x14ac:dyDescent="0.2">
      <c r="A30" s="204">
        <f t="shared" si="0"/>
        <v>7</v>
      </c>
      <c r="B30" s="205" t="s">
        <v>261</v>
      </c>
      <c r="C30" s="193"/>
      <c r="D30" s="193"/>
      <c r="E30" s="193"/>
      <c r="F30" s="193"/>
      <c r="G30" s="193"/>
      <c r="H30" s="193"/>
      <c r="I30" s="193"/>
      <c r="J30" s="193"/>
      <c r="K30" s="193"/>
      <c r="L30" s="193"/>
      <c r="M30" s="193"/>
      <c r="N30" s="206"/>
      <c r="O30" s="458" t="s">
        <v>262</v>
      </c>
      <c r="P30" s="459"/>
      <c r="Q30" s="459"/>
      <c r="R30" s="459"/>
      <c r="S30" s="460"/>
      <c r="T30" s="418">
        <v>6</v>
      </c>
      <c r="U30" s="419"/>
    </row>
    <row r="31" spans="1:22" x14ac:dyDescent="0.2">
      <c r="A31" s="204">
        <f t="shared" si="0"/>
        <v>8</v>
      </c>
      <c r="B31" s="205" t="s">
        <v>263</v>
      </c>
      <c r="C31" s="193"/>
      <c r="D31" s="193"/>
      <c r="E31" s="193"/>
      <c r="F31" s="193"/>
      <c r="G31" s="193"/>
      <c r="H31" s="193"/>
      <c r="I31" s="193"/>
      <c r="J31" s="193"/>
      <c r="K31" s="193"/>
      <c r="L31" s="193"/>
      <c r="M31" s="193"/>
      <c r="N31" s="206"/>
      <c r="O31" s="458" t="s">
        <v>264</v>
      </c>
      <c r="P31" s="459"/>
      <c r="Q31" s="459"/>
      <c r="R31" s="459"/>
      <c r="S31" s="460"/>
      <c r="T31" s="418">
        <v>8</v>
      </c>
      <c r="U31" s="419"/>
    </row>
    <row r="32" spans="1:22" x14ac:dyDescent="0.2">
      <c r="A32" s="204">
        <f t="shared" si="0"/>
        <v>9</v>
      </c>
      <c r="B32" s="205" t="s">
        <v>265</v>
      </c>
      <c r="C32" s="193"/>
      <c r="D32" s="193"/>
      <c r="E32" s="193"/>
      <c r="F32" s="193"/>
      <c r="G32" s="193"/>
      <c r="H32" s="193"/>
      <c r="I32" s="193"/>
      <c r="J32" s="193"/>
      <c r="K32" s="193"/>
      <c r="L32" s="193"/>
      <c r="M32" s="193"/>
      <c r="N32" s="206"/>
      <c r="O32" s="458" t="s">
        <v>266</v>
      </c>
      <c r="P32" s="459"/>
      <c r="Q32" s="459"/>
      <c r="R32" s="459"/>
      <c r="S32" s="460"/>
      <c r="T32" s="418">
        <v>2</v>
      </c>
      <c r="U32" s="419"/>
    </row>
    <row r="33" spans="1:21" x14ac:dyDescent="0.2">
      <c r="A33" s="204">
        <f t="shared" si="0"/>
        <v>10</v>
      </c>
      <c r="B33" s="205" t="s">
        <v>267</v>
      </c>
      <c r="C33" s="193"/>
      <c r="D33" s="193"/>
      <c r="E33" s="193"/>
      <c r="F33" s="193"/>
      <c r="G33" s="193"/>
      <c r="H33" s="193"/>
      <c r="I33" s="193"/>
      <c r="J33" s="193"/>
      <c r="K33" s="193"/>
      <c r="L33" s="193"/>
      <c r="M33" s="193"/>
      <c r="N33" s="206"/>
      <c r="O33" s="458" t="s">
        <v>268</v>
      </c>
      <c r="P33" s="459"/>
      <c r="Q33" s="459"/>
      <c r="R33" s="459"/>
      <c r="S33" s="460"/>
      <c r="T33" s="418">
        <v>1</v>
      </c>
      <c r="U33" s="419"/>
    </row>
    <row r="34" spans="1:21" x14ac:dyDescent="0.2">
      <c r="A34" s="204">
        <f t="shared" si="0"/>
        <v>11</v>
      </c>
      <c r="B34" s="205" t="s">
        <v>269</v>
      </c>
      <c r="C34" s="193"/>
      <c r="D34" s="193"/>
      <c r="E34" s="193"/>
      <c r="F34" s="193"/>
      <c r="G34" s="193"/>
      <c r="H34" s="193"/>
      <c r="I34" s="193"/>
      <c r="J34" s="193"/>
      <c r="K34" s="193"/>
      <c r="L34" s="193"/>
      <c r="M34" s="193"/>
      <c r="N34" s="206"/>
      <c r="O34" s="458" t="s">
        <v>270</v>
      </c>
      <c r="P34" s="459"/>
      <c r="Q34" s="459"/>
      <c r="R34" s="459"/>
      <c r="S34" s="460"/>
      <c r="T34" s="418">
        <v>1</v>
      </c>
      <c r="U34" s="419"/>
    </row>
    <row r="35" spans="1:21" x14ac:dyDescent="0.2">
      <c r="A35" s="204">
        <f t="shared" si="0"/>
        <v>12</v>
      </c>
      <c r="B35" s="205" t="s">
        <v>271</v>
      </c>
      <c r="C35" s="193"/>
      <c r="D35" s="193"/>
      <c r="E35" s="193"/>
      <c r="F35" s="193"/>
      <c r="G35" s="193"/>
      <c r="H35" s="193"/>
      <c r="I35" s="193"/>
      <c r="J35" s="193"/>
      <c r="K35" s="193"/>
      <c r="L35" s="193"/>
      <c r="M35" s="193"/>
      <c r="N35" s="206"/>
      <c r="O35" s="458" t="s">
        <v>272</v>
      </c>
      <c r="P35" s="459"/>
      <c r="Q35" s="459"/>
      <c r="R35" s="459"/>
      <c r="S35" s="460"/>
      <c r="T35" s="418">
        <v>1</v>
      </c>
      <c r="U35" s="419"/>
    </row>
    <row r="36" spans="1:21" x14ac:dyDescent="0.2">
      <c r="A36" s="204">
        <f t="shared" si="0"/>
        <v>13</v>
      </c>
      <c r="B36" s="205" t="s">
        <v>273</v>
      </c>
      <c r="C36" s="193"/>
      <c r="D36" s="193"/>
      <c r="E36" s="193"/>
      <c r="F36" s="193"/>
      <c r="G36" s="193"/>
      <c r="H36" s="193"/>
      <c r="I36" s="193"/>
      <c r="J36" s="193"/>
      <c r="K36" s="193"/>
      <c r="L36" s="193"/>
      <c r="M36" s="193"/>
      <c r="N36" s="206"/>
      <c r="O36" s="458" t="s">
        <v>274</v>
      </c>
      <c r="P36" s="459"/>
      <c r="Q36" s="459"/>
      <c r="R36" s="459"/>
      <c r="S36" s="460"/>
      <c r="T36" s="418">
        <v>1</v>
      </c>
      <c r="U36" s="419"/>
    </row>
    <row r="37" spans="1:21" x14ac:dyDescent="0.2">
      <c r="A37" s="204">
        <f t="shared" si="0"/>
        <v>14</v>
      </c>
      <c r="B37" s="205" t="s">
        <v>275</v>
      </c>
      <c r="C37" s="193"/>
      <c r="D37" s="193"/>
      <c r="E37" s="193"/>
      <c r="F37" s="193"/>
      <c r="G37" s="193"/>
      <c r="H37" s="193"/>
      <c r="I37" s="193"/>
      <c r="J37" s="193"/>
      <c r="K37" s="193"/>
      <c r="L37" s="193"/>
      <c r="M37" s="193"/>
      <c r="N37" s="206"/>
      <c r="O37" s="458" t="s">
        <v>276</v>
      </c>
      <c r="P37" s="459"/>
      <c r="Q37" s="459"/>
      <c r="R37" s="459"/>
      <c r="S37" s="460"/>
      <c r="T37" s="418">
        <v>2</v>
      </c>
      <c r="U37" s="419"/>
    </row>
    <row r="38" spans="1:21" x14ac:dyDescent="0.2">
      <c r="A38" s="204">
        <f t="shared" si="0"/>
        <v>15</v>
      </c>
      <c r="B38" s="205" t="s">
        <v>277</v>
      </c>
      <c r="C38" s="193"/>
      <c r="D38" s="193"/>
      <c r="E38" s="193"/>
      <c r="F38" s="193"/>
      <c r="G38" s="193"/>
      <c r="H38" s="193"/>
      <c r="I38" s="193"/>
      <c r="J38" s="193"/>
      <c r="K38" s="193"/>
      <c r="L38" s="193"/>
      <c r="M38" s="193"/>
      <c r="N38" s="206"/>
      <c r="O38" s="458" t="s">
        <v>278</v>
      </c>
      <c r="P38" s="459"/>
      <c r="Q38" s="459"/>
      <c r="R38" s="459"/>
      <c r="S38" s="460"/>
      <c r="T38" s="418">
        <v>1</v>
      </c>
      <c r="U38" s="419"/>
    </row>
    <row r="39" spans="1:21" x14ac:dyDescent="0.2">
      <c r="A39" s="204">
        <f t="shared" si="0"/>
        <v>16</v>
      </c>
      <c r="B39" s="205" t="s">
        <v>279</v>
      </c>
      <c r="C39" s="193"/>
      <c r="D39" s="193"/>
      <c r="E39" s="193"/>
      <c r="F39" s="193"/>
      <c r="G39" s="193"/>
      <c r="H39" s="193"/>
      <c r="I39" s="193"/>
      <c r="J39" s="193"/>
      <c r="K39" s="193"/>
      <c r="L39" s="193"/>
      <c r="M39" s="193"/>
      <c r="N39" s="206"/>
      <c r="O39" s="458" t="s">
        <v>280</v>
      </c>
      <c r="P39" s="459"/>
      <c r="Q39" s="459"/>
      <c r="R39" s="459"/>
      <c r="S39" s="460"/>
      <c r="T39" s="418">
        <v>6</v>
      </c>
      <c r="U39" s="419"/>
    </row>
    <row r="40" spans="1:21" x14ac:dyDescent="0.2">
      <c r="A40" s="204">
        <f t="shared" si="0"/>
        <v>17</v>
      </c>
      <c r="B40" s="205" t="s">
        <v>281</v>
      </c>
      <c r="C40" s="193"/>
      <c r="D40" s="193"/>
      <c r="E40" s="193"/>
      <c r="F40" s="193"/>
      <c r="G40" s="193"/>
      <c r="H40" s="193"/>
      <c r="I40" s="193"/>
      <c r="J40" s="193"/>
      <c r="K40" s="193"/>
      <c r="L40" s="193"/>
      <c r="M40" s="193"/>
      <c r="N40" s="206"/>
      <c r="O40" s="458" t="s">
        <v>282</v>
      </c>
      <c r="P40" s="459"/>
      <c r="Q40" s="459"/>
      <c r="R40" s="459"/>
      <c r="S40" s="460"/>
      <c r="T40" s="418">
        <v>6</v>
      </c>
      <c r="U40" s="419"/>
    </row>
    <row r="41" spans="1:21" x14ac:dyDescent="0.2">
      <c r="A41" s="204">
        <f t="shared" si="0"/>
        <v>18</v>
      </c>
      <c r="B41" s="205" t="s">
        <v>283</v>
      </c>
      <c r="C41" s="193"/>
      <c r="D41" s="193"/>
      <c r="E41" s="193"/>
      <c r="F41" s="193"/>
      <c r="G41" s="193"/>
      <c r="H41" s="193"/>
      <c r="I41" s="193"/>
      <c r="J41" s="193"/>
      <c r="K41" s="193"/>
      <c r="L41" s="193"/>
      <c r="M41" s="193"/>
      <c r="N41" s="206"/>
      <c r="O41" s="458" t="s">
        <v>284</v>
      </c>
      <c r="P41" s="459"/>
      <c r="Q41" s="459"/>
      <c r="R41" s="459"/>
      <c r="S41" s="460"/>
      <c r="T41" s="418">
        <v>5</v>
      </c>
      <c r="U41" s="419"/>
    </row>
    <row r="42" spans="1:21" x14ac:dyDescent="0.2">
      <c r="A42" s="204">
        <f t="shared" si="0"/>
        <v>19</v>
      </c>
      <c r="B42" s="205" t="s">
        <v>283</v>
      </c>
      <c r="C42" s="193"/>
      <c r="D42" s="193"/>
      <c r="E42" s="193"/>
      <c r="F42" s="193"/>
      <c r="G42" s="193"/>
      <c r="H42" s="193"/>
      <c r="I42" s="193"/>
      <c r="J42" s="193"/>
      <c r="K42" s="193"/>
      <c r="L42" s="193"/>
      <c r="M42" s="193"/>
      <c r="N42" s="206"/>
      <c r="O42" s="458" t="s">
        <v>285</v>
      </c>
      <c r="P42" s="459"/>
      <c r="Q42" s="459"/>
      <c r="R42" s="459"/>
      <c r="S42" s="460"/>
      <c r="T42" s="418">
        <v>2</v>
      </c>
      <c r="U42" s="419"/>
    </row>
    <row r="43" spans="1:21" x14ac:dyDescent="0.2">
      <c r="A43" s="204">
        <f t="shared" si="0"/>
        <v>20</v>
      </c>
      <c r="B43" s="207" t="s">
        <v>286</v>
      </c>
      <c r="C43" s="208"/>
      <c r="D43" s="208"/>
      <c r="E43" s="208"/>
      <c r="F43" s="208"/>
      <c r="G43" s="208"/>
      <c r="H43" s="208"/>
      <c r="I43" s="208"/>
      <c r="J43" s="208"/>
      <c r="K43" s="208"/>
      <c r="L43" s="208"/>
      <c r="M43" s="208"/>
      <c r="N43" s="209"/>
      <c r="O43" s="458" t="s">
        <v>287</v>
      </c>
      <c r="P43" s="459"/>
      <c r="Q43" s="459"/>
      <c r="R43" s="459"/>
      <c r="S43" s="460"/>
      <c r="T43" s="418">
        <v>7</v>
      </c>
      <c r="U43" s="419"/>
    </row>
    <row r="44" spans="1:21" x14ac:dyDescent="0.2">
      <c r="A44" s="204">
        <f t="shared" si="0"/>
        <v>21</v>
      </c>
      <c r="B44" s="207" t="s">
        <v>288</v>
      </c>
      <c r="C44" s="208"/>
      <c r="D44" s="208"/>
      <c r="E44" s="208"/>
      <c r="F44" s="208"/>
      <c r="G44" s="208"/>
      <c r="H44" s="208"/>
      <c r="I44" s="208"/>
      <c r="J44" s="208"/>
      <c r="K44" s="208"/>
      <c r="L44" s="208"/>
      <c r="M44" s="208"/>
      <c r="N44" s="209"/>
      <c r="O44" s="458" t="s">
        <v>289</v>
      </c>
      <c r="P44" s="459"/>
      <c r="Q44" s="459"/>
      <c r="R44" s="459"/>
      <c r="S44" s="460"/>
      <c r="T44" s="418">
        <v>5</v>
      </c>
      <c r="U44" s="419"/>
    </row>
    <row r="45" spans="1:21" x14ac:dyDescent="0.2">
      <c r="A45" s="204">
        <f t="shared" si="0"/>
        <v>22</v>
      </c>
      <c r="B45" s="207" t="s">
        <v>290</v>
      </c>
      <c r="C45" s="208"/>
      <c r="D45" s="208"/>
      <c r="E45" s="208"/>
      <c r="F45" s="208"/>
      <c r="G45" s="208"/>
      <c r="H45" s="208"/>
      <c r="I45" s="208"/>
      <c r="J45" s="208"/>
      <c r="K45" s="208"/>
      <c r="L45" s="208"/>
      <c r="M45" s="208"/>
      <c r="N45" s="209"/>
      <c r="O45" s="458" t="s">
        <v>291</v>
      </c>
      <c r="P45" s="459"/>
      <c r="Q45" s="459"/>
      <c r="R45" s="459"/>
      <c r="S45" s="460"/>
      <c r="T45" s="418">
        <v>4</v>
      </c>
      <c r="U45" s="419"/>
    </row>
    <row r="46" spans="1:21" x14ac:dyDescent="0.2">
      <c r="A46" s="204">
        <f t="shared" si="0"/>
        <v>23</v>
      </c>
      <c r="B46" s="207" t="s">
        <v>292</v>
      </c>
      <c r="C46" s="208"/>
      <c r="D46" s="208"/>
      <c r="E46" s="208"/>
      <c r="F46" s="208"/>
      <c r="G46" s="208"/>
      <c r="H46" s="208"/>
      <c r="I46" s="208"/>
      <c r="J46" s="208"/>
      <c r="K46" s="208"/>
      <c r="L46" s="208"/>
      <c r="M46" s="208"/>
      <c r="N46" s="209"/>
      <c r="O46" s="458" t="s">
        <v>293</v>
      </c>
      <c r="P46" s="459"/>
      <c r="Q46" s="459"/>
      <c r="R46" s="459"/>
      <c r="S46" s="460"/>
      <c r="T46" s="418">
        <v>6</v>
      </c>
      <c r="U46" s="419"/>
    </row>
    <row r="47" spans="1:21" x14ac:dyDescent="0.2">
      <c r="A47" s="204">
        <f t="shared" si="0"/>
        <v>24</v>
      </c>
      <c r="B47" s="207" t="s">
        <v>294</v>
      </c>
      <c r="C47" s="208"/>
      <c r="D47" s="208"/>
      <c r="E47" s="208"/>
      <c r="F47" s="208"/>
      <c r="G47" s="208"/>
      <c r="H47" s="208"/>
      <c r="I47" s="208"/>
      <c r="J47" s="208"/>
      <c r="K47" s="208"/>
      <c r="L47" s="208"/>
      <c r="M47" s="208"/>
      <c r="N47" s="209"/>
      <c r="O47" s="458" t="s">
        <v>295</v>
      </c>
      <c r="P47" s="459"/>
      <c r="Q47" s="459"/>
      <c r="R47" s="459"/>
      <c r="S47" s="460"/>
      <c r="T47" s="418">
        <v>7</v>
      </c>
      <c r="U47" s="419"/>
    </row>
    <row r="48" spans="1:21" x14ac:dyDescent="0.2">
      <c r="A48" s="204">
        <f t="shared" si="0"/>
        <v>25</v>
      </c>
      <c r="B48" s="207" t="s">
        <v>296</v>
      </c>
      <c r="C48" s="208"/>
      <c r="D48" s="208"/>
      <c r="E48" s="208"/>
      <c r="F48" s="208"/>
      <c r="G48" s="208"/>
      <c r="H48" s="208"/>
      <c r="I48" s="208"/>
      <c r="J48" s="208"/>
      <c r="K48" s="208"/>
      <c r="L48" s="208"/>
      <c r="M48" s="208"/>
      <c r="N48" s="209"/>
      <c r="O48" s="458" t="s">
        <v>297</v>
      </c>
      <c r="P48" s="459"/>
      <c r="Q48" s="459"/>
      <c r="R48" s="459"/>
      <c r="S48" s="460"/>
      <c r="T48" s="418">
        <v>10</v>
      </c>
      <c r="U48" s="419"/>
    </row>
    <row r="49" spans="1:21" x14ac:dyDescent="0.2">
      <c r="A49" s="204">
        <f t="shared" si="0"/>
        <v>26</v>
      </c>
      <c r="B49" s="207" t="s">
        <v>298</v>
      </c>
      <c r="C49" s="208"/>
      <c r="D49" s="208"/>
      <c r="E49" s="208"/>
      <c r="F49" s="208"/>
      <c r="G49" s="208"/>
      <c r="H49" s="208"/>
      <c r="I49" s="208"/>
      <c r="J49" s="208"/>
      <c r="K49" s="208"/>
      <c r="L49" s="208"/>
      <c r="M49" s="208"/>
      <c r="N49" s="209"/>
      <c r="O49" s="458" t="s">
        <v>299</v>
      </c>
      <c r="P49" s="459"/>
      <c r="Q49" s="459"/>
      <c r="R49" s="459"/>
      <c r="S49" s="460"/>
      <c r="T49" s="418">
        <v>7</v>
      </c>
      <c r="U49" s="419"/>
    </row>
    <row r="50" spans="1:21" x14ac:dyDescent="0.2">
      <c r="A50" s="204">
        <f t="shared" si="0"/>
        <v>27</v>
      </c>
      <c r="B50" s="207" t="s">
        <v>300</v>
      </c>
      <c r="C50" s="208"/>
      <c r="D50" s="208"/>
      <c r="E50" s="208"/>
      <c r="F50" s="208"/>
      <c r="G50" s="208"/>
      <c r="H50" s="208"/>
      <c r="I50" s="208"/>
      <c r="J50" s="208"/>
      <c r="K50" s="208"/>
      <c r="L50" s="208"/>
      <c r="M50" s="208"/>
      <c r="N50" s="209"/>
      <c r="O50" s="458" t="s">
        <v>301</v>
      </c>
      <c r="P50" s="459"/>
      <c r="Q50" s="459"/>
      <c r="R50" s="459"/>
      <c r="S50" s="460"/>
      <c r="T50" s="418">
        <v>7</v>
      </c>
      <c r="U50" s="419"/>
    </row>
    <row r="51" spans="1:21" x14ac:dyDescent="0.2">
      <c r="A51" s="204">
        <f t="shared" si="0"/>
        <v>28</v>
      </c>
      <c r="B51" s="207" t="s">
        <v>302</v>
      </c>
      <c r="C51" s="208"/>
      <c r="D51" s="208"/>
      <c r="E51" s="208"/>
      <c r="F51" s="208"/>
      <c r="G51" s="208"/>
      <c r="H51" s="208"/>
      <c r="I51" s="208"/>
      <c r="J51" s="208"/>
      <c r="K51" s="208"/>
      <c r="L51" s="208"/>
      <c r="M51" s="208"/>
      <c r="N51" s="209"/>
      <c r="O51" s="458" t="s">
        <v>303</v>
      </c>
      <c r="P51" s="459"/>
      <c r="Q51" s="459"/>
      <c r="R51" s="459"/>
      <c r="S51" s="460"/>
      <c r="T51" s="418">
        <v>9</v>
      </c>
      <c r="U51" s="419"/>
    </row>
    <row r="52" spans="1:21" x14ac:dyDescent="0.2">
      <c r="A52" s="204">
        <f t="shared" si="0"/>
        <v>29</v>
      </c>
      <c r="B52" s="207" t="s">
        <v>304</v>
      </c>
      <c r="C52" s="208"/>
      <c r="D52" s="208"/>
      <c r="E52" s="208"/>
      <c r="F52" s="208"/>
      <c r="G52" s="208"/>
      <c r="H52" s="208"/>
      <c r="I52" s="208"/>
      <c r="J52" s="208"/>
      <c r="K52" s="208"/>
      <c r="L52" s="208"/>
      <c r="M52" s="208"/>
      <c r="N52" s="209"/>
      <c r="O52" s="458" t="s">
        <v>305</v>
      </c>
      <c r="P52" s="459"/>
      <c r="Q52" s="459"/>
      <c r="R52" s="459"/>
      <c r="S52" s="460"/>
      <c r="T52" s="418">
        <v>3</v>
      </c>
      <c r="U52" s="419"/>
    </row>
    <row r="53" spans="1:21" x14ac:dyDescent="0.2">
      <c r="A53" s="204">
        <f t="shared" si="0"/>
        <v>30</v>
      </c>
      <c r="B53" s="207" t="s">
        <v>306</v>
      </c>
      <c r="C53" s="208"/>
      <c r="D53" s="208"/>
      <c r="E53" s="208"/>
      <c r="F53" s="208"/>
      <c r="G53" s="208"/>
      <c r="H53" s="208"/>
      <c r="I53" s="208"/>
      <c r="J53" s="208"/>
      <c r="K53" s="208"/>
      <c r="L53" s="208"/>
      <c r="M53" s="208"/>
      <c r="N53" s="209"/>
      <c r="O53" s="458" t="s">
        <v>307</v>
      </c>
      <c r="P53" s="459"/>
      <c r="Q53" s="459"/>
      <c r="R53" s="459"/>
      <c r="S53" s="460"/>
      <c r="T53" s="418">
        <v>4</v>
      </c>
      <c r="U53" s="419"/>
    </row>
    <row r="54" spans="1:21" x14ac:dyDescent="0.2">
      <c r="A54" s="204">
        <f t="shared" si="0"/>
        <v>31</v>
      </c>
      <c r="B54" s="207" t="s">
        <v>308</v>
      </c>
      <c r="C54" s="208"/>
      <c r="D54" s="208"/>
      <c r="E54" s="208"/>
      <c r="F54" s="208"/>
      <c r="G54" s="208"/>
      <c r="H54" s="208"/>
      <c r="I54" s="208"/>
      <c r="J54" s="208"/>
      <c r="K54" s="208"/>
      <c r="L54" s="208"/>
      <c r="M54" s="208"/>
      <c r="N54" s="209"/>
      <c r="O54" s="458" t="s">
        <v>309</v>
      </c>
      <c r="P54" s="459"/>
      <c r="Q54" s="459"/>
      <c r="R54" s="459"/>
      <c r="S54" s="460"/>
      <c r="T54" s="418">
        <v>1</v>
      </c>
      <c r="U54" s="419"/>
    </row>
    <row r="55" spans="1:21" x14ac:dyDescent="0.2">
      <c r="A55" s="204">
        <f t="shared" si="0"/>
        <v>32</v>
      </c>
      <c r="B55" s="207" t="s">
        <v>310</v>
      </c>
      <c r="C55" s="208"/>
      <c r="D55" s="208"/>
      <c r="E55" s="208"/>
      <c r="F55" s="208"/>
      <c r="G55" s="208"/>
      <c r="H55" s="208"/>
      <c r="I55" s="208"/>
      <c r="J55" s="208"/>
      <c r="K55" s="208"/>
      <c r="L55" s="208"/>
      <c r="M55" s="208"/>
      <c r="N55" s="209"/>
      <c r="O55" s="458" t="s">
        <v>311</v>
      </c>
      <c r="P55" s="459"/>
      <c r="Q55" s="459"/>
      <c r="R55" s="459"/>
      <c r="S55" s="460"/>
      <c r="T55" s="418">
        <v>1</v>
      </c>
      <c r="U55" s="419"/>
    </row>
    <row r="56" spans="1:21" x14ac:dyDescent="0.2">
      <c r="A56" s="204">
        <f t="shared" si="0"/>
        <v>33</v>
      </c>
      <c r="B56" s="207" t="s">
        <v>312</v>
      </c>
      <c r="C56" s="208"/>
      <c r="D56" s="208"/>
      <c r="E56" s="208"/>
      <c r="F56" s="208"/>
      <c r="G56" s="208"/>
      <c r="H56" s="208"/>
      <c r="I56" s="208"/>
      <c r="J56" s="208"/>
      <c r="K56" s="208"/>
      <c r="L56" s="208"/>
      <c r="M56" s="208"/>
      <c r="N56" s="209"/>
      <c r="O56" s="458" t="s">
        <v>313</v>
      </c>
      <c r="P56" s="459"/>
      <c r="Q56" s="459"/>
      <c r="R56" s="459"/>
      <c r="S56" s="460"/>
      <c r="T56" s="418">
        <v>2</v>
      </c>
      <c r="U56" s="419"/>
    </row>
    <row r="57" spans="1:21" x14ac:dyDescent="0.2">
      <c r="A57" s="204">
        <f t="shared" si="0"/>
        <v>34</v>
      </c>
      <c r="B57" s="207" t="s">
        <v>314</v>
      </c>
      <c r="C57" s="208"/>
      <c r="D57" s="208"/>
      <c r="E57" s="208"/>
      <c r="F57" s="208"/>
      <c r="G57" s="208"/>
      <c r="H57" s="208"/>
      <c r="I57" s="208"/>
      <c r="J57" s="208"/>
      <c r="K57" s="208"/>
      <c r="L57" s="208"/>
      <c r="M57" s="208"/>
      <c r="N57" s="209"/>
      <c r="O57" s="458" t="s">
        <v>315</v>
      </c>
      <c r="P57" s="459"/>
      <c r="Q57" s="459"/>
      <c r="R57" s="459"/>
      <c r="S57" s="460"/>
      <c r="T57" s="418">
        <v>1</v>
      </c>
      <c r="U57" s="419"/>
    </row>
    <row r="58" spans="1:21" x14ac:dyDescent="0.2">
      <c r="A58" s="204">
        <f t="shared" si="0"/>
        <v>35</v>
      </c>
      <c r="B58" s="207" t="s">
        <v>316</v>
      </c>
      <c r="C58" s="208"/>
      <c r="D58" s="208"/>
      <c r="E58" s="208"/>
      <c r="F58" s="208"/>
      <c r="G58" s="208"/>
      <c r="H58" s="208"/>
      <c r="I58" s="208"/>
      <c r="J58" s="208"/>
      <c r="K58" s="208"/>
      <c r="L58" s="208"/>
      <c r="M58" s="208"/>
      <c r="N58" s="209"/>
      <c r="O58" s="458" t="s">
        <v>317</v>
      </c>
      <c r="P58" s="459"/>
      <c r="Q58" s="459"/>
      <c r="R58" s="459"/>
      <c r="S58" s="460"/>
      <c r="T58" s="418">
        <v>1</v>
      </c>
      <c r="U58" s="419"/>
    </row>
    <row r="59" spans="1:21" x14ac:dyDescent="0.2">
      <c r="A59" s="204">
        <f t="shared" si="0"/>
        <v>36</v>
      </c>
      <c r="B59" s="207" t="s">
        <v>318</v>
      </c>
      <c r="C59" s="208"/>
      <c r="D59" s="208"/>
      <c r="E59" s="208"/>
      <c r="F59" s="208"/>
      <c r="G59" s="208"/>
      <c r="H59" s="208"/>
      <c r="I59" s="208"/>
      <c r="J59" s="208"/>
      <c r="K59" s="208"/>
      <c r="L59" s="208"/>
      <c r="M59" s="208"/>
      <c r="N59" s="209"/>
      <c r="O59" s="458" t="s">
        <v>319</v>
      </c>
      <c r="P59" s="459"/>
      <c r="Q59" s="459"/>
      <c r="R59" s="459"/>
      <c r="S59" s="460"/>
      <c r="T59" s="418">
        <v>1</v>
      </c>
      <c r="U59" s="419"/>
    </row>
    <row r="60" spans="1:21" x14ac:dyDescent="0.2">
      <c r="A60" s="204">
        <f t="shared" si="0"/>
        <v>37</v>
      </c>
      <c r="B60" s="207" t="s">
        <v>320</v>
      </c>
      <c r="C60" s="208"/>
      <c r="D60" s="208"/>
      <c r="E60" s="208"/>
      <c r="F60" s="208"/>
      <c r="G60" s="208"/>
      <c r="H60" s="208"/>
      <c r="I60" s="208"/>
      <c r="J60" s="208"/>
      <c r="K60" s="208"/>
      <c r="L60" s="208"/>
      <c r="M60" s="208"/>
      <c r="N60" s="209"/>
      <c r="O60" s="458" t="s">
        <v>321</v>
      </c>
      <c r="P60" s="459"/>
      <c r="Q60" s="459"/>
      <c r="R60" s="459"/>
      <c r="S60" s="460"/>
      <c r="T60" s="418">
        <v>2</v>
      </c>
      <c r="U60" s="419"/>
    </row>
    <row r="61" spans="1:21" x14ac:dyDescent="0.2">
      <c r="A61" s="204">
        <f t="shared" si="0"/>
        <v>38</v>
      </c>
      <c r="B61" s="207" t="s">
        <v>322</v>
      </c>
      <c r="C61" s="208"/>
      <c r="D61" s="208"/>
      <c r="E61" s="208"/>
      <c r="F61" s="208"/>
      <c r="G61" s="208"/>
      <c r="H61" s="208"/>
      <c r="I61" s="208"/>
      <c r="J61" s="208"/>
      <c r="K61" s="208"/>
      <c r="L61" s="208"/>
      <c r="M61" s="208"/>
      <c r="N61" s="209"/>
      <c r="O61" s="458" t="s">
        <v>323</v>
      </c>
      <c r="P61" s="459"/>
      <c r="Q61" s="459"/>
      <c r="R61" s="459"/>
      <c r="S61" s="460"/>
      <c r="T61" s="418">
        <v>1</v>
      </c>
      <c r="U61" s="419"/>
    </row>
    <row r="62" spans="1:21" x14ac:dyDescent="0.2">
      <c r="A62" s="204">
        <f t="shared" si="0"/>
        <v>39</v>
      </c>
      <c r="B62" s="207" t="s">
        <v>324</v>
      </c>
      <c r="C62" s="208"/>
      <c r="D62" s="208"/>
      <c r="E62" s="208"/>
      <c r="F62" s="208"/>
      <c r="G62" s="208"/>
      <c r="H62" s="208"/>
      <c r="I62" s="208"/>
      <c r="J62" s="208"/>
      <c r="K62" s="208"/>
      <c r="L62" s="208"/>
      <c r="M62" s="208"/>
      <c r="N62" s="209"/>
      <c r="O62" s="458" t="s">
        <v>325</v>
      </c>
      <c r="P62" s="459"/>
      <c r="Q62" s="459"/>
      <c r="R62" s="459"/>
      <c r="S62" s="460"/>
      <c r="T62" s="418">
        <v>2</v>
      </c>
      <c r="U62" s="419"/>
    </row>
    <row r="63" spans="1:21" x14ac:dyDescent="0.2">
      <c r="A63" s="204">
        <f t="shared" si="0"/>
        <v>40</v>
      </c>
      <c r="B63" s="207" t="s">
        <v>318</v>
      </c>
      <c r="C63" s="208"/>
      <c r="D63" s="208"/>
      <c r="E63" s="208"/>
      <c r="F63" s="208"/>
      <c r="G63" s="208"/>
      <c r="H63" s="208"/>
      <c r="I63" s="208"/>
      <c r="J63" s="208"/>
      <c r="K63" s="208"/>
      <c r="L63" s="208"/>
      <c r="M63" s="208"/>
      <c r="N63" s="209"/>
      <c r="O63" s="458" t="s">
        <v>319</v>
      </c>
      <c r="P63" s="459"/>
      <c r="Q63" s="459"/>
      <c r="R63" s="459"/>
      <c r="S63" s="460"/>
      <c r="T63" s="418">
        <v>1</v>
      </c>
      <c r="U63" s="419"/>
    </row>
    <row r="64" spans="1:21" x14ac:dyDescent="0.2">
      <c r="A64" s="204">
        <f t="shared" si="0"/>
        <v>41</v>
      </c>
      <c r="B64" s="207" t="s">
        <v>320</v>
      </c>
      <c r="C64" s="208"/>
      <c r="D64" s="208"/>
      <c r="E64" s="208"/>
      <c r="F64" s="208"/>
      <c r="G64" s="208"/>
      <c r="H64" s="208"/>
      <c r="I64" s="208"/>
      <c r="J64" s="208"/>
      <c r="K64" s="208"/>
      <c r="L64" s="208"/>
      <c r="M64" s="208"/>
      <c r="N64" s="209"/>
      <c r="O64" s="458" t="s">
        <v>321</v>
      </c>
      <c r="P64" s="459"/>
      <c r="Q64" s="459"/>
      <c r="R64" s="459"/>
      <c r="S64" s="460"/>
      <c r="T64" s="418">
        <v>2</v>
      </c>
      <c r="U64" s="419"/>
    </row>
    <row r="65" spans="1:21" x14ac:dyDescent="0.2">
      <c r="A65" s="204">
        <f t="shared" si="0"/>
        <v>42</v>
      </c>
      <c r="B65" s="207" t="s">
        <v>322</v>
      </c>
      <c r="C65" s="208"/>
      <c r="D65" s="208"/>
      <c r="E65" s="208"/>
      <c r="F65" s="208"/>
      <c r="G65" s="208"/>
      <c r="H65" s="208"/>
      <c r="I65" s="208"/>
      <c r="J65" s="208"/>
      <c r="K65" s="208"/>
      <c r="L65" s="208"/>
      <c r="M65" s="208"/>
      <c r="N65" s="209"/>
      <c r="O65" s="458" t="s">
        <v>323</v>
      </c>
      <c r="P65" s="459"/>
      <c r="Q65" s="459"/>
      <c r="R65" s="459"/>
      <c r="S65" s="460"/>
      <c r="T65" s="418">
        <v>1</v>
      </c>
      <c r="U65" s="419"/>
    </row>
    <row r="66" spans="1:21" x14ac:dyDescent="0.2">
      <c r="A66" s="204">
        <f t="shared" si="0"/>
        <v>43</v>
      </c>
      <c r="B66" s="207" t="s">
        <v>324</v>
      </c>
      <c r="C66" s="208"/>
      <c r="D66" s="208"/>
      <c r="E66" s="208"/>
      <c r="F66" s="208"/>
      <c r="G66" s="208"/>
      <c r="H66" s="208"/>
      <c r="I66" s="208"/>
      <c r="J66" s="208"/>
      <c r="K66" s="208"/>
      <c r="L66" s="208"/>
      <c r="M66" s="208"/>
      <c r="N66" s="209"/>
      <c r="O66" s="458" t="s">
        <v>325</v>
      </c>
      <c r="P66" s="459"/>
      <c r="Q66" s="459"/>
      <c r="R66" s="459"/>
      <c r="S66" s="460"/>
      <c r="T66" s="418">
        <v>2</v>
      </c>
      <c r="U66" s="419"/>
    </row>
    <row r="67" spans="1:21" x14ac:dyDescent="0.2">
      <c r="A67" s="204">
        <f t="shared" si="0"/>
        <v>44</v>
      </c>
      <c r="B67" s="207"/>
      <c r="C67" s="208"/>
      <c r="D67" s="208"/>
      <c r="E67" s="208"/>
      <c r="F67" s="208"/>
      <c r="G67" s="208"/>
      <c r="H67" s="208"/>
      <c r="I67" s="208"/>
      <c r="J67" s="208"/>
      <c r="K67" s="208"/>
      <c r="L67" s="208"/>
      <c r="M67" s="208"/>
      <c r="N67" s="209"/>
      <c r="O67" s="458"/>
      <c r="P67" s="459"/>
      <c r="Q67" s="459"/>
      <c r="R67" s="459"/>
      <c r="S67" s="460"/>
      <c r="T67" s="418"/>
      <c r="U67" s="419"/>
    </row>
    <row r="68" spans="1:21" x14ac:dyDescent="0.2">
      <c r="A68" s="204">
        <f t="shared" si="0"/>
        <v>45</v>
      </c>
      <c r="B68" s="207"/>
      <c r="C68" s="208"/>
      <c r="D68" s="208"/>
      <c r="E68" s="208"/>
      <c r="F68" s="208"/>
      <c r="G68" s="208"/>
      <c r="H68" s="208"/>
      <c r="I68" s="208"/>
      <c r="J68" s="208"/>
      <c r="K68" s="208"/>
      <c r="L68" s="208"/>
      <c r="M68" s="208"/>
      <c r="N68" s="209"/>
      <c r="O68" s="458"/>
      <c r="P68" s="459"/>
      <c r="Q68" s="459"/>
      <c r="R68" s="459"/>
      <c r="S68" s="460"/>
      <c r="T68" s="418"/>
      <c r="U68" s="419"/>
    </row>
    <row r="69" spans="1:21" x14ac:dyDescent="0.2">
      <c r="A69" s="204">
        <f t="shared" si="0"/>
        <v>46</v>
      </c>
      <c r="B69" s="207"/>
      <c r="C69" s="208"/>
      <c r="D69" s="208"/>
      <c r="E69" s="208"/>
      <c r="F69" s="208"/>
      <c r="G69" s="208"/>
      <c r="H69" s="208"/>
      <c r="I69" s="208"/>
      <c r="J69" s="208"/>
      <c r="K69" s="208"/>
      <c r="L69" s="208"/>
      <c r="M69" s="208"/>
      <c r="N69" s="209"/>
      <c r="O69" s="458"/>
      <c r="P69" s="459"/>
      <c r="Q69" s="459"/>
      <c r="R69" s="459"/>
      <c r="S69" s="460"/>
      <c r="T69" s="418"/>
      <c r="U69" s="419"/>
    </row>
    <row r="70" spans="1:21" x14ac:dyDescent="0.2">
      <c r="A70" s="204">
        <f t="shared" si="0"/>
        <v>47</v>
      </c>
      <c r="B70" s="207"/>
      <c r="C70" s="208"/>
      <c r="D70" s="208"/>
      <c r="E70" s="208"/>
      <c r="F70" s="208"/>
      <c r="G70" s="208"/>
      <c r="H70" s="208"/>
      <c r="I70" s="208"/>
      <c r="J70" s="208"/>
      <c r="K70" s="208"/>
      <c r="L70" s="208"/>
      <c r="M70" s="208"/>
      <c r="N70" s="209"/>
      <c r="O70" s="458"/>
      <c r="P70" s="459"/>
      <c r="Q70" s="459"/>
      <c r="R70" s="459"/>
      <c r="S70" s="460"/>
      <c r="T70" s="418"/>
      <c r="U70" s="419"/>
    </row>
    <row r="71" spans="1:21" x14ac:dyDescent="0.2">
      <c r="A71" s="204">
        <f t="shared" si="0"/>
        <v>48</v>
      </c>
      <c r="B71" s="207"/>
      <c r="C71" s="208"/>
      <c r="D71" s="208"/>
      <c r="E71" s="208"/>
      <c r="F71" s="208"/>
      <c r="G71" s="208"/>
      <c r="H71" s="208"/>
      <c r="I71" s="208"/>
      <c r="J71" s="208"/>
      <c r="K71" s="208"/>
      <c r="L71" s="208"/>
      <c r="M71" s="208"/>
      <c r="N71" s="209"/>
      <c r="O71" s="458"/>
      <c r="P71" s="459"/>
      <c r="Q71" s="459"/>
      <c r="R71" s="459"/>
      <c r="S71" s="460"/>
      <c r="T71" s="418"/>
      <c r="U71" s="419"/>
    </row>
    <row r="72" spans="1:21" x14ac:dyDescent="0.2">
      <c r="A72" s="204">
        <f t="shared" si="0"/>
        <v>49</v>
      </c>
      <c r="B72" s="207"/>
      <c r="C72" s="208"/>
      <c r="D72" s="208"/>
      <c r="E72" s="208"/>
      <c r="F72" s="208"/>
      <c r="G72" s="208"/>
      <c r="H72" s="208"/>
      <c r="I72" s="208"/>
      <c r="J72" s="208"/>
      <c r="K72" s="208"/>
      <c r="L72" s="208"/>
      <c r="M72" s="208"/>
      <c r="N72" s="209"/>
      <c r="O72" s="458"/>
      <c r="P72" s="459"/>
      <c r="Q72" s="459"/>
      <c r="R72" s="459"/>
      <c r="S72" s="460"/>
      <c r="T72" s="418"/>
      <c r="U72" s="419"/>
    </row>
    <row r="73" spans="1:21" x14ac:dyDescent="0.2">
      <c r="A73" s="204">
        <f t="shared" si="0"/>
        <v>50</v>
      </c>
      <c r="B73" s="207"/>
      <c r="C73" s="208"/>
      <c r="D73" s="208"/>
      <c r="E73" s="208"/>
      <c r="F73" s="208"/>
      <c r="G73" s="208"/>
      <c r="H73" s="208"/>
      <c r="I73" s="208"/>
      <c r="J73" s="208"/>
      <c r="K73" s="208"/>
      <c r="L73" s="208"/>
      <c r="M73" s="208"/>
      <c r="N73" s="209"/>
      <c r="O73" s="458"/>
      <c r="P73" s="459"/>
      <c r="Q73" s="459"/>
      <c r="R73" s="459"/>
      <c r="S73" s="460"/>
      <c r="T73" s="418"/>
      <c r="U73" s="419"/>
    </row>
    <row r="74" spans="1:21" x14ac:dyDescent="0.2">
      <c r="A74" s="204">
        <f t="shared" si="0"/>
        <v>51</v>
      </c>
      <c r="B74" s="207"/>
      <c r="C74" s="208"/>
      <c r="D74" s="208"/>
      <c r="E74" s="208"/>
      <c r="F74" s="208"/>
      <c r="G74" s="208"/>
      <c r="H74" s="208"/>
      <c r="I74" s="208"/>
      <c r="J74" s="208"/>
      <c r="K74" s="208"/>
      <c r="L74" s="208"/>
      <c r="M74" s="208"/>
      <c r="N74" s="209"/>
      <c r="O74" s="458"/>
      <c r="P74" s="459"/>
      <c r="Q74" s="459"/>
      <c r="R74" s="459"/>
      <c r="S74" s="460"/>
      <c r="T74" s="418"/>
      <c r="U74" s="419"/>
    </row>
    <row r="75" spans="1:21" x14ac:dyDescent="0.2">
      <c r="A75" s="204">
        <f t="shared" si="0"/>
        <v>52</v>
      </c>
      <c r="B75" s="207"/>
      <c r="C75" s="208"/>
      <c r="D75" s="208"/>
      <c r="E75" s="208"/>
      <c r="F75" s="208"/>
      <c r="G75" s="208"/>
      <c r="H75" s="208"/>
      <c r="I75" s="208"/>
      <c r="J75" s="208"/>
      <c r="K75" s="208"/>
      <c r="L75" s="208"/>
      <c r="M75" s="208"/>
      <c r="N75" s="209"/>
      <c r="O75" s="458"/>
      <c r="P75" s="459"/>
      <c r="Q75" s="459"/>
      <c r="R75" s="459"/>
      <c r="S75" s="460"/>
      <c r="T75" s="418"/>
      <c r="U75" s="419"/>
    </row>
    <row r="76" spans="1:21" x14ac:dyDescent="0.2">
      <c r="A76" s="204">
        <f t="shared" si="0"/>
        <v>53</v>
      </c>
      <c r="B76" s="207"/>
      <c r="C76" s="208"/>
      <c r="D76" s="208"/>
      <c r="E76" s="208"/>
      <c r="F76" s="208"/>
      <c r="G76" s="208"/>
      <c r="H76" s="208"/>
      <c r="I76" s="208"/>
      <c r="J76" s="208"/>
      <c r="K76" s="208"/>
      <c r="L76" s="208"/>
      <c r="M76" s="208"/>
      <c r="N76" s="209"/>
      <c r="O76" s="458"/>
      <c r="P76" s="459"/>
      <c r="Q76" s="459"/>
      <c r="R76" s="459"/>
      <c r="S76" s="460"/>
      <c r="T76" s="418"/>
      <c r="U76" s="419"/>
    </row>
    <row r="77" spans="1:21" x14ac:dyDescent="0.2">
      <c r="A77" s="204">
        <f t="shared" si="0"/>
        <v>54</v>
      </c>
      <c r="B77" s="207"/>
      <c r="C77" s="208"/>
      <c r="D77" s="208"/>
      <c r="E77" s="208"/>
      <c r="F77" s="208"/>
      <c r="G77" s="208"/>
      <c r="H77" s="208"/>
      <c r="I77" s="208"/>
      <c r="J77" s="208"/>
      <c r="K77" s="208"/>
      <c r="L77" s="208"/>
      <c r="M77" s="208"/>
      <c r="N77" s="209"/>
      <c r="O77" s="458"/>
      <c r="P77" s="459"/>
      <c r="Q77" s="459"/>
      <c r="R77" s="459"/>
      <c r="S77" s="460"/>
      <c r="T77" s="418"/>
      <c r="U77" s="419"/>
    </row>
    <row r="78" spans="1:21" x14ac:dyDescent="0.2">
      <c r="A78" s="204">
        <f t="shared" si="0"/>
        <v>55</v>
      </c>
      <c r="B78" s="207"/>
      <c r="C78" s="208"/>
      <c r="D78" s="208"/>
      <c r="E78" s="208"/>
      <c r="F78" s="208"/>
      <c r="G78" s="208"/>
      <c r="H78" s="208"/>
      <c r="I78" s="208"/>
      <c r="J78" s="208"/>
      <c r="K78" s="208"/>
      <c r="L78" s="208"/>
      <c r="M78" s="208"/>
      <c r="N78" s="209"/>
      <c r="O78" s="458"/>
      <c r="P78" s="459"/>
      <c r="Q78" s="459"/>
      <c r="R78" s="459"/>
      <c r="S78" s="460"/>
      <c r="T78" s="418"/>
      <c r="U78" s="419"/>
    </row>
    <row r="79" spans="1:21" x14ac:dyDescent="0.2">
      <c r="A79" s="204">
        <f t="shared" si="0"/>
        <v>56</v>
      </c>
      <c r="B79" s="207"/>
      <c r="C79" s="208"/>
      <c r="D79" s="208"/>
      <c r="E79" s="208"/>
      <c r="F79" s="208"/>
      <c r="G79" s="208"/>
      <c r="H79" s="208"/>
      <c r="I79" s="208"/>
      <c r="J79" s="208"/>
      <c r="K79" s="208"/>
      <c r="L79" s="208"/>
      <c r="M79" s="208"/>
      <c r="N79" s="209"/>
      <c r="O79" s="458"/>
      <c r="P79" s="459"/>
      <c r="Q79" s="459"/>
      <c r="R79" s="459"/>
      <c r="S79" s="460"/>
      <c r="T79" s="418"/>
      <c r="U79" s="419"/>
    </row>
    <row r="80" spans="1:21" x14ac:dyDescent="0.2">
      <c r="A80" s="204">
        <f t="shared" si="0"/>
        <v>57</v>
      </c>
      <c r="B80" s="207"/>
      <c r="C80" s="208"/>
      <c r="D80" s="208"/>
      <c r="E80" s="208"/>
      <c r="F80" s="208"/>
      <c r="G80" s="208"/>
      <c r="H80" s="208"/>
      <c r="I80" s="208"/>
      <c r="J80" s="208"/>
      <c r="K80" s="208"/>
      <c r="L80" s="208"/>
      <c r="M80" s="208"/>
      <c r="N80" s="209"/>
      <c r="O80" s="458"/>
      <c r="P80" s="459"/>
      <c r="Q80" s="459"/>
      <c r="R80" s="459"/>
      <c r="S80" s="460"/>
      <c r="T80" s="418"/>
      <c r="U80" s="419"/>
    </row>
    <row r="81" spans="1:21" x14ac:dyDescent="0.2">
      <c r="A81" s="204">
        <f t="shared" si="0"/>
        <v>58</v>
      </c>
      <c r="B81" s="207"/>
      <c r="C81" s="208"/>
      <c r="D81" s="208"/>
      <c r="E81" s="208"/>
      <c r="F81" s="208"/>
      <c r="G81" s="208"/>
      <c r="H81" s="208"/>
      <c r="I81" s="208"/>
      <c r="J81" s="208"/>
      <c r="K81" s="208"/>
      <c r="L81" s="208"/>
      <c r="M81" s="208"/>
      <c r="N81" s="209"/>
      <c r="O81" s="458"/>
      <c r="P81" s="459"/>
      <c r="Q81" s="459"/>
      <c r="R81" s="459"/>
      <c r="S81" s="460"/>
      <c r="T81" s="418"/>
      <c r="U81" s="419"/>
    </row>
    <row r="82" spans="1:21" x14ac:dyDescent="0.2">
      <c r="A82" s="204">
        <f t="shared" si="0"/>
        <v>59</v>
      </c>
      <c r="B82" s="207"/>
      <c r="C82" s="208"/>
      <c r="D82" s="208"/>
      <c r="E82" s="208"/>
      <c r="F82" s="208"/>
      <c r="G82" s="208"/>
      <c r="H82" s="208"/>
      <c r="I82" s="208"/>
      <c r="J82" s="208"/>
      <c r="K82" s="208"/>
      <c r="L82" s="208"/>
      <c r="M82" s="208"/>
      <c r="N82" s="209"/>
      <c r="O82" s="458"/>
      <c r="P82" s="459"/>
      <c r="Q82" s="459"/>
      <c r="R82" s="459"/>
      <c r="S82" s="460"/>
      <c r="T82" s="418"/>
      <c r="U82" s="419"/>
    </row>
    <row r="83" spans="1:21" x14ac:dyDescent="0.2">
      <c r="A83" s="204">
        <f t="shared" si="0"/>
        <v>60</v>
      </c>
      <c r="B83" s="207"/>
      <c r="C83" s="208"/>
      <c r="D83" s="208"/>
      <c r="E83" s="208"/>
      <c r="F83" s="208"/>
      <c r="G83" s="208"/>
      <c r="H83" s="208"/>
      <c r="I83" s="208"/>
      <c r="J83" s="208"/>
      <c r="K83" s="208"/>
      <c r="L83" s="208"/>
      <c r="M83" s="208"/>
      <c r="N83" s="209"/>
      <c r="O83" s="458"/>
      <c r="P83" s="459"/>
      <c r="Q83" s="459"/>
      <c r="R83" s="459"/>
      <c r="S83" s="460"/>
      <c r="T83" s="418"/>
      <c r="U83" s="419"/>
    </row>
    <row r="84" spans="1:21" x14ac:dyDescent="0.2">
      <c r="A84" s="204">
        <f t="shared" si="0"/>
        <v>61</v>
      </c>
      <c r="B84" s="207"/>
      <c r="C84" s="208"/>
      <c r="D84" s="208"/>
      <c r="E84" s="208"/>
      <c r="F84" s="208"/>
      <c r="G84" s="208"/>
      <c r="H84" s="208"/>
      <c r="I84" s="208"/>
      <c r="J84" s="208"/>
      <c r="K84" s="208"/>
      <c r="L84" s="208"/>
      <c r="M84" s="208"/>
      <c r="N84" s="209"/>
      <c r="O84" s="458"/>
      <c r="P84" s="459"/>
      <c r="Q84" s="459"/>
      <c r="R84" s="459"/>
      <c r="S84" s="460"/>
      <c r="T84" s="418"/>
      <c r="U84" s="419"/>
    </row>
    <row r="85" spans="1:21" x14ac:dyDescent="0.2">
      <c r="A85" s="204">
        <f t="shared" si="0"/>
        <v>62</v>
      </c>
      <c r="B85" s="207"/>
      <c r="C85" s="208"/>
      <c r="D85" s="208"/>
      <c r="E85" s="208"/>
      <c r="F85" s="208"/>
      <c r="G85" s="208"/>
      <c r="H85" s="208"/>
      <c r="I85" s="208"/>
      <c r="J85" s="208"/>
      <c r="K85" s="208"/>
      <c r="L85" s="208"/>
      <c r="M85" s="208"/>
      <c r="N85" s="209"/>
      <c r="O85" s="458"/>
      <c r="P85" s="459"/>
      <c r="Q85" s="459"/>
      <c r="R85" s="459"/>
      <c r="S85" s="460"/>
      <c r="T85" s="418"/>
      <c r="U85" s="419"/>
    </row>
    <row r="86" spans="1:21" x14ac:dyDescent="0.2">
      <c r="A86" s="204">
        <f t="shared" si="0"/>
        <v>63</v>
      </c>
      <c r="B86" s="207"/>
      <c r="C86" s="208"/>
      <c r="D86" s="208"/>
      <c r="E86" s="208"/>
      <c r="F86" s="208"/>
      <c r="G86" s="208"/>
      <c r="H86" s="208"/>
      <c r="I86" s="208"/>
      <c r="J86" s="208"/>
      <c r="K86" s="208"/>
      <c r="L86" s="208"/>
      <c r="M86" s="208"/>
      <c r="N86" s="209"/>
      <c r="O86" s="458"/>
      <c r="P86" s="459"/>
      <c r="Q86" s="459"/>
      <c r="R86" s="459"/>
      <c r="S86" s="460"/>
      <c r="T86" s="418"/>
      <c r="U86" s="419"/>
    </row>
    <row r="87" spans="1:21" x14ac:dyDescent="0.2">
      <c r="A87" s="204">
        <f t="shared" si="0"/>
        <v>64</v>
      </c>
      <c r="B87" s="207"/>
      <c r="C87" s="208"/>
      <c r="D87" s="208"/>
      <c r="E87" s="208"/>
      <c r="F87" s="208"/>
      <c r="G87" s="208"/>
      <c r="H87" s="208"/>
      <c r="I87" s="208"/>
      <c r="J87" s="208"/>
      <c r="K87" s="208"/>
      <c r="L87" s="208"/>
      <c r="M87" s="208"/>
      <c r="N87" s="209"/>
      <c r="O87" s="458"/>
      <c r="P87" s="459"/>
      <c r="Q87" s="459"/>
      <c r="R87" s="459"/>
      <c r="S87" s="460"/>
      <c r="T87" s="418"/>
      <c r="U87" s="419"/>
    </row>
    <row r="88" spans="1:21" x14ac:dyDescent="0.2">
      <c r="A88" s="204">
        <f t="shared" si="0"/>
        <v>65</v>
      </c>
      <c r="B88" s="207"/>
      <c r="C88" s="208"/>
      <c r="D88" s="208"/>
      <c r="E88" s="208"/>
      <c r="F88" s="208"/>
      <c r="G88" s="208"/>
      <c r="H88" s="208"/>
      <c r="I88" s="208"/>
      <c r="J88" s="208"/>
      <c r="K88" s="208"/>
      <c r="L88" s="208"/>
      <c r="M88" s="208"/>
      <c r="N88" s="209"/>
      <c r="O88" s="458"/>
      <c r="P88" s="459"/>
      <c r="Q88" s="459"/>
      <c r="R88" s="459"/>
      <c r="S88" s="460"/>
      <c r="T88" s="418"/>
      <c r="U88" s="419"/>
    </row>
    <row r="89" spans="1:21" x14ac:dyDescent="0.2">
      <c r="A89" s="204">
        <f t="shared" ref="A89:A127" si="1">A88+1</f>
        <v>66</v>
      </c>
      <c r="B89" s="207"/>
      <c r="C89" s="208"/>
      <c r="D89" s="208"/>
      <c r="E89" s="208"/>
      <c r="F89" s="208"/>
      <c r="G89" s="208"/>
      <c r="H89" s="208"/>
      <c r="I89" s="208"/>
      <c r="J89" s="208"/>
      <c r="K89" s="208"/>
      <c r="L89" s="208"/>
      <c r="M89" s="208"/>
      <c r="N89" s="209"/>
      <c r="O89" s="458"/>
      <c r="P89" s="459"/>
      <c r="Q89" s="459"/>
      <c r="R89" s="459"/>
      <c r="S89" s="460"/>
      <c r="T89" s="418"/>
      <c r="U89" s="419"/>
    </row>
    <row r="90" spans="1:21" x14ac:dyDescent="0.2">
      <c r="A90" s="204">
        <f t="shared" si="1"/>
        <v>67</v>
      </c>
      <c r="B90" s="207"/>
      <c r="C90" s="208"/>
      <c r="D90" s="208"/>
      <c r="E90" s="208"/>
      <c r="F90" s="208"/>
      <c r="G90" s="208"/>
      <c r="H90" s="208"/>
      <c r="I90" s="208"/>
      <c r="J90" s="208"/>
      <c r="K90" s="208"/>
      <c r="L90" s="208"/>
      <c r="M90" s="208"/>
      <c r="N90" s="209"/>
      <c r="O90" s="458"/>
      <c r="P90" s="459"/>
      <c r="Q90" s="459"/>
      <c r="R90" s="459"/>
      <c r="S90" s="460"/>
      <c r="T90" s="418"/>
      <c r="U90" s="419"/>
    </row>
    <row r="91" spans="1:21" x14ac:dyDescent="0.2">
      <c r="A91" s="204">
        <f t="shared" si="1"/>
        <v>68</v>
      </c>
      <c r="B91" s="207"/>
      <c r="C91" s="208"/>
      <c r="D91" s="208"/>
      <c r="E91" s="208"/>
      <c r="F91" s="208"/>
      <c r="G91" s="208"/>
      <c r="H91" s="208"/>
      <c r="I91" s="208"/>
      <c r="J91" s="208"/>
      <c r="K91" s="208"/>
      <c r="L91" s="208"/>
      <c r="M91" s="208"/>
      <c r="N91" s="209"/>
      <c r="O91" s="458"/>
      <c r="P91" s="459"/>
      <c r="Q91" s="459"/>
      <c r="R91" s="459"/>
      <c r="S91" s="460"/>
      <c r="T91" s="418"/>
      <c r="U91" s="419"/>
    </row>
    <row r="92" spans="1:21" x14ac:dyDescent="0.2">
      <c r="A92" s="204">
        <f t="shared" si="1"/>
        <v>69</v>
      </c>
      <c r="B92" s="207"/>
      <c r="C92" s="208"/>
      <c r="D92" s="208"/>
      <c r="E92" s="208"/>
      <c r="F92" s="208"/>
      <c r="G92" s="208"/>
      <c r="H92" s="208"/>
      <c r="I92" s="208"/>
      <c r="J92" s="208"/>
      <c r="K92" s="208"/>
      <c r="L92" s="208"/>
      <c r="M92" s="208"/>
      <c r="N92" s="209"/>
      <c r="O92" s="458"/>
      <c r="P92" s="459"/>
      <c r="Q92" s="459"/>
      <c r="R92" s="459"/>
      <c r="S92" s="460"/>
      <c r="T92" s="418"/>
      <c r="U92" s="419"/>
    </row>
    <row r="93" spans="1:21" x14ac:dyDescent="0.2">
      <c r="A93" s="204">
        <f t="shared" si="1"/>
        <v>70</v>
      </c>
      <c r="B93" s="207"/>
      <c r="C93" s="208"/>
      <c r="D93" s="208"/>
      <c r="E93" s="208"/>
      <c r="F93" s="208"/>
      <c r="G93" s="208"/>
      <c r="H93" s="208"/>
      <c r="I93" s="208"/>
      <c r="J93" s="208"/>
      <c r="K93" s="208"/>
      <c r="L93" s="208"/>
      <c r="M93" s="208"/>
      <c r="N93" s="209"/>
      <c r="O93" s="458"/>
      <c r="P93" s="459"/>
      <c r="Q93" s="459"/>
      <c r="R93" s="459"/>
      <c r="S93" s="460"/>
      <c r="T93" s="418"/>
      <c r="U93" s="419"/>
    </row>
    <row r="94" spans="1:21" x14ac:dyDescent="0.2">
      <c r="A94" s="204">
        <f t="shared" si="1"/>
        <v>71</v>
      </c>
      <c r="B94" s="207"/>
      <c r="C94" s="208"/>
      <c r="D94" s="208"/>
      <c r="E94" s="208"/>
      <c r="F94" s="208"/>
      <c r="G94" s="208"/>
      <c r="H94" s="208"/>
      <c r="I94" s="208"/>
      <c r="J94" s="208"/>
      <c r="K94" s="208"/>
      <c r="L94" s="208"/>
      <c r="M94" s="208"/>
      <c r="N94" s="209"/>
      <c r="O94" s="458"/>
      <c r="P94" s="459"/>
      <c r="Q94" s="459"/>
      <c r="R94" s="459"/>
      <c r="S94" s="460"/>
      <c r="T94" s="418"/>
      <c r="U94" s="419"/>
    </row>
    <row r="95" spans="1:21" x14ac:dyDescent="0.2">
      <c r="A95" s="204">
        <f t="shared" si="1"/>
        <v>72</v>
      </c>
      <c r="B95" s="207"/>
      <c r="C95" s="208"/>
      <c r="D95" s="208"/>
      <c r="E95" s="208"/>
      <c r="F95" s="208"/>
      <c r="G95" s="208"/>
      <c r="H95" s="208"/>
      <c r="I95" s="208"/>
      <c r="J95" s="208"/>
      <c r="K95" s="208"/>
      <c r="L95" s="208"/>
      <c r="M95" s="208"/>
      <c r="N95" s="209"/>
      <c r="O95" s="458"/>
      <c r="P95" s="459"/>
      <c r="Q95" s="459"/>
      <c r="R95" s="459"/>
      <c r="S95" s="460"/>
      <c r="T95" s="418"/>
      <c r="U95" s="419"/>
    </row>
    <row r="96" spans="1:21" x14ac:dyDescent="0.2">
      <c r="A96" s="204">
        <f t="shared" si="1"/>
        <v>73</v>
      </c>
      <c r="B96" s="207"/>
      <c r="C96" s="208"/>
      <c r="D96" s="208"/>
      <c r="E96" s="208"/>
      <c r="F96" s="208"/>
      <c r="G96" s="208"/>
      <c r="H96" s="208"/>
      <c r="I96" s="208"/>
      <c r="J96" s="208"/>
      <c r="K96" s="208"/>
      <c r="L96" s="208"/>
      <c r="M96" s="208"/>
      <c r="N96" s="209"/>
      <c r="O96" s="458"/>
      <c r="P96" s="459"/>
      <c r="Q96" s="459"/>
      <c r="R96" s="459"/>
      <c r="S96" s="460"/>
      <c r="T96" s="418"/>
      <c r="U96" s="419"/>
    </row>
    <row r="97" spans="1:21" x14ac:dyDescent="0.2">
      <c r="A97" s="204">
        <f t="shared" si="1"/>
        <v>74</v>
      </c>
      <c r="B97" s="207"/>
      <c r="C97" s="208"/>
      <c r="D97" s="208"/>
      <c r="E97" s="208"/>
      <c r="F97" s="208"/>
      <c r="G97" s="208"/>
      <c r="H97" s="208"/>
      <c r="I97" s="208"/>
      <c r="J97" s="208"/>
      <c r="K97" s="208"/>
      <c r="L97" s="208"/>
      <c r="M97" s="208"/>
      <c r="N97" s="209"/>
      <c r="O97" s="458"/>
      <c r="P97" s="459"/>
      <c r="Q97" s="459"/>
      <c r="R97" s="459"/>
      <c r="S97" s="460"/>
      <c r="T97" s="418"/>
      <c r="U97" s="419"/>
    </row>
    <row r="98" spans="1:21" x14ac:dyDescent="0.2">
      <c r="A98" s="204">
        <f t="shared" si="1"/>
        <v>75</v>
      </c>
      <c r="B98" s="207"/>
      <c r="C98" s="208"/>
      <c r="D98" s="208"/>
      <c r="E98" s="208"/>
      <c r="F98" s="208"/>
      <c r="G98" s="208"/>
      <c r="H98" s="208"/>
      <c r="I98" s="208"/>
      <c r="J98" s="208"/>
      <c r="K98" s="208"/>
      <c r="L98" s="208"/>
      <c r="M98" s="208"/>
      <c r="N98" s="209"/>
      <c r="O98" s="458"/>
      <c r="P98" s="459"/>
      <c r="Q98" s="459"/>
      <c r="R98" s="459"/>
      <c r="S98" s="460"/>
      <c r="T98" s="418"/>
      <c r="U98" s="419"/>
    </row>
    <row r="99" spans="1:21" x14ac:dyDescent="0.2">
      <c r="A99" s="204">
        <f t="shared" si="1"/>
        <v>76</v>
      </c>
      <c r="B99" s="207"/>
      <c r="C99" s="208"/>
      <c r="D99" s="208"/>
      <c r="E99" s="208"/>
      <c r="F99" s="208"/>
      <c r="G99" s="208"/>
      <c r="H99" s="208"/>
      <c r="I99" s="208"/>
      <c r="J99" s="208"/>
      <c r="K99" s="208"/>
      <c r="L99" s="208"/>
      <c r="M99" s="208"/>
      <c r="N99" s="209"/>
      <c r="O99" s="458"/>
      <c r="P99" s="459"/>
      <c r="Q99" s="459"/>
      <c r="R99" s="459"/>
      <c r="S99" s="460"/>
      <c r="T99" s="418"/>
      <c r="U99" s="419"/>
    </row>
    <row r="100" spans="1:21" x14ac:dyDescent="0.2">
      <c r="A100" s="204">
        <f t="shared" si="1"/>
        <v>77</v>
      </c>
      <c r="B100" s="207"/>
      <c r="C100" s="208"/>
      <c r="D100" s="208"/>
      <c r="E100" s="208"/>
      <c r="F100" s="208"/>
      <c r="G100" s="208"/>
      <c r="H100" s="208"/>
      <c r="I100" s="208"/>
      <c r="J100" s="208"/>
      <c r="K100" s="208"/>
      <c r="L100" s="208"/>
      <c r="M100" s="208"/>
      <c r="N100" s="209"/>
      <c r="O100" s="458"/>
      <c r="P100" s="459"/>
      <c r="Q100" s="459"/>
      <c r="R100" s="459"/>
      <c r="S100" s="460"/>
      <c r="T100" s="418"/>
      <c r="U100" s="419"/>
    </row>
    <row r="101" spans="1:21" x14ac:dyDescent="0.2">
      <c r="A101" s="204">
        <f t="shared" si="1"/>
        <v>78</v>
      </c>
      <c r="B101" s="207"/>
      <c r="C101" s="208"/>
      <c r="D101" s="208"/>
      <c r="E101" s="208"/>
      <c r="F101" s="208"/>
      <c r="G101" s="208"/>
      <c r="H101" s="208"/>
      <c r="I101" s="208"/>
      <c r="J101" s="208"/>
      <c r="K101" s="208"/>
      <c r="L101" s="208"/>
      <c r="M101" s="208"/>
      <c r="N101" s="209"/>
      <c r="O101" s="458"/>
      <c r="P101" s="459"/>
      <c r="Q101" s="459"/>
      <c r="R101" s="459"/>
      <c r="S101" s="460"/>
      <c r="T101" s="418"/>
      <c r="U101" s="419"/>
    </row>
    <row r="102" spans="1:21" x14ac:dyDescent="0.2">
      <c r="A102" s="204">
        <f t="shared" si="1"/>
        <v>79</v>
      </c>
      <c r="B102" s="207"/>
      <c r="C102" s="208"/>
      <c r="D102" s="208"/>
      <c r="E102" s="208"/>
      <c r="F102" s="208"/>
      <c r="G102" s="208"/>
      <c r="H102" s="208"/>
      <c r="I102" s="208"/>
      <c r="J102" s="208"/>
      <c r="K102" s="208"/>
      <c r="L102" s="208"/>
      <c r="M102" s="208"/>
      <c r="N102" s="209"/>
      <c r="O102" s="458"/>
      <c r="P102" s="459"/>
      <c r="Q102" s="459"/>
      <c r="R102" s="459"/>
      <c r="S102" s="460"/>
      <c r="T102" s="418"/>
      <c r="U102" s="419"/>
    </row>
    <row r="103" spans="1:21" x14ac:dyDescent="0.2">
      <c r="A103" s="204">
        <f t="shared" si="1"/>
        <v>80</v>
      </c>
      <c r="B103" s="207"/>
      <c r="C103" s="208"/>
      <c r="D103" s="208"/>
      <c r="E103" s="208"/>
      <c r="F103" s="208"/>
      <c r="G103" s="208"/>
      <c r="H103" s="208"/>
      <c r="I103" s="208"/>
      <c r="J103" s="208"/>
      <c r="K103" s="208"/>
      <c r="L103" s="208"/>
      <c r="M103" s="208"/>
      <c r="N103" s="209"/>
      <c r="O103" s="458"/>
      <c r="P103" s="459"/>
      <c r="Q103" s="459"/>
      <c r="R103" s="459"/>
      <c r="S103" s="460"/>
      <c r="T103" s="418"/>
      <c r="U103" s="419"/>
    </row>
    <row r="104" spans="1:21" x14ac:dyDescent="0.2">
      <c r="A104" s="204">
        <f t="shared" si="1"/>
        <v>81</v>
      </c>
      <c r="B104" s="207"/>
      <c r="C104" s="208"/>
      <c r="D104" s="208"/>
      <c r="E104" s="208"/>
      <c r="F104" s="208"/>
      <c r="G104" s="208"/>
      <c r="H104" s="208"/>
      <c r="I104" s="208"/>
      <c r="J104" s="208"/>
      <c r="K104" s="208"/>
      <c r="L104" s="208"/>
      <c r="M104" s="208"/>
      <c r="N104" s="209"/>
      <c r="O104" s="458"/>
      <c r="P104" s="459"/>
      <c r="Q104" s="459"/>
      <c r="R104" s="459"/>
      <c r="S104" s="460"/>
      <c r="T104" s="418"/>
      <c r="U104" s="419"/>
    </row>
    <row r="105" spans="1:21" x14ac:dyDescent="0.2">
      <c r="A105" s="204">
        <f t="shared" si="1"/>
        <v>82</v>
      </c>
      <c r="B105" s="207"/>
      <c r="C105" s="208"/>
      <c r="D105" s="208"/>
      <c r="E105" s="208"/>
      <c r="F105" s="208"/>
      <c r="G105" s="208"/>
      <c r="H105" s="208"/>
      <c r="I105" s="208"/>
      <c r="J105" s="208"/>
      <c r="K105" s="208"/>
      <c r="L105" s="208"/>
      <c r="M105" s="208"/>
      <c r="N105" s="209"/>
      <c r="O105" s="458"/>
      <c r="P105" s="459"/>
      <c r="Q105" s="459"/>
      <c r="R105" s="459"/>
      <c r="S105" s="460"/>
      <c r="T105" s="418"/>
      <c r="U105" s="419"/>
    </row>
    <row r="106" spans="1:21" x14ac:dyDescent="0.2">
      <c r="A106" s="204">
        <f t="shared" si="1"/>
        <v>83</v>
      </c>
      <c r="B106" s="207"/>
      <c r="C106" s="208"/>
      <c r="D106" s="208"/>
      <c r="E106" s="208"/>
      <c r="F106" s="208"/>
      <c r="G106" s="208"/>
      <c r="H106" s="208"/>
      <c r="I106" s="208"/>
      <c r="J106" s="208"/>
      <c r="K106" s="208"/>
      <c r="L106" s="208"/>
      <c r="M106" s="208"/>
      <c r="N106" s="209"/>
      <c r="O106" s="458"/>
      <c r="P106" s="459"/>
      <c r="Q106" s="459"/>
      <c r="R106" s="459"/>
      <c r="S106" s="460"/>
      <c r="T106" s="418"/>
      <c r="U106" s="419"/>
    </row>
    <row r="107" spans="1:21" x14ac:dyDescent="0.2">
      <c r="A107" s="204">
        <f t="shared" si="1"/>
        <v>84</v>
      </c>
      <c r="B107" s="207"/>
      <c r="C107" s="208"/>
      <c r="D107" s="208"/>
      <c r="E107" s="208"/>
      <c r="F107" s="208"/>
      <c r="G107" s="208"/>
      <c r="H107" s="208"/>
      <c r="I107" s="208"/>
      <c r="J107" s="208"/>
      <c r="K107" s="208"/>
      <c r="L107" s="208"/>
      <c r="M107" s="208"/>
      <c r="N107" s="209"/>
      <c r="O107" s="458"/>
      <c r="P107" s="459"/>
      <c r="Q107" s="459"/>
      <c r="R107" s="459"/>
      <c r="S107" s="460"/>
      <c r="T107" s="418"/>
      <c r="U107" s="419"/>
    </row>
    <row r="108" spans="1:21" x14ac:dyDescent="0.2">
      <c r="A108" s="204">
        <f t="shared" si="1"/>
        <v>85</v>
      </c>
      <c r="B108" s="207"/>
      <c r="C108" s="208"/>
      <c r="D108" s="208"/>
      <c r="E108" s="208"/>
      <c r="F108" s="208"/>
      <c r="G108" s="208"/>
      <c r="H108" s="208"/>
      <c r="I108" s="208"/>
      <c r="J108" s="208"/>
      <c r="K108" s="208"/>
      <c r="L108" s="208"/>
      <c r="M108" s="208"/>
      <c r="N108" s="209"/>
      <c r="O108" s="458"/>
      <c r="P108" s="459"/>
      <c r="Q108" s="459"/>
      <c r="R108" s="459"/>
      <c r="S108" s="460"/>
      <c r="T108" s="418"/>
      <c r="U108" s="419"/>
    </row>
    <row r="109" spans="1:21" x14ac:dyDescent="0.2">
      <c r="A109" s="204">
        <f t="shared" si="1"/>
        <v>86</v>
      </c>
      <c r="B109" s="207"/>
      <c r="C109" s="208"/>
      <c r="D109" s="208"/>
      <c r="E109" s="208"/>
      <c r="F109" s="208"/>
      <c r="G109" s="208"/>
      <c r="H109" s="208"/>
      <c r="I109" s="208"/>
      <c r="J109" s="208"/>
      <c r="K109" s="208"/>
      <c r="L109" s="208"/>
      <c r="M109" s="208"/>
      <c r="N109" s="209"/>
      <c r="O109" s="458"/>
      <c r="P109" s="459"/>
      <c r="Q109" s="459"/>
      <c r="R109" s="459"/>
      <c r="S109" s="460"/>
      <c r="T109" s="418"/>
      <c r="U109" s="419"/>
    </row>
    <row r="110" spans="1:21" x14ac:dyDescent="0.2">
      <c r="A110" s="204">
        <f t="shared" si="1"/>
        <v>87</v>
      </c>
      <c r="B110" s="207"/>
      <c r="C110" s="208"/>
      <c r="D110" s="208"/>
      <c r="E110" s="208"/>
      <c r="F110" s="208"/>
      <c r="G110" s="208"/>
      <c r="H110" s="208"/>
      <c r="I110" s="208"/>
      <c r="J110" s="208"/>
      <c r="K110" s="208"/>
      <c r="L110" s="208"/>
      <c r="M110" s="208"/>
      <c r="N110" s="209"/>
      <c r="O110" s="458"/>
      <c r="P110" s="459"/>
      <c r="Q110" s="459"/>
      <c r="R110" s="459"/>
      <c r="S110" s="460"/>
      <c r="T110" s="418"/>
      <c r="U110" s="419"/>
    </row>
    <row r="111" spans="1:21" x14ac:dyDescent="0.2">
      <c r="A111" s="204">
        <f t="shared" si="1"/>
        <v>88</v>
      </c>
      <c r="B111" s="207"/>
      <c r="C111" s="208"/>
      <c r="D111" s="208"/>
      <c r="E111" s="208"/>
      <c r="F111" s="208"/>
      <c r="G111" s="208"/>
      <c r="H111" s="208"/>
      <c r="I111" s="208"/>
      <c r="J111" s="208"/>
      <c r="K111" s="208"/>
      <c r="L111" s="208"/>
      <c r="M111" s="208"/>
      <c r="N111" s="209"/>
      <c r="O111" s="458"/>
      <c r="P111" s="459"/>
      <c r="Q111" s="459"/>
      <c r="R111" s="459"/>
      <c r="S111" s="460"/>
      <c r="T111" s="418"/>
      <c r="U111" s="419"/>
    </row>
    <row r="112" spans="1:21" x14ac:dyDescent="0.2">
      <c r="A112" s="204">
        <f t="shared" si="1"/>
        <v>89</v>
      </c>
      <c r="B112" s="207"/>
      <c r="C112" s="208"/>
      <c r="D112" s="208"/>
      <c r="E112" s="208"/>
      <c r="F112" s="208"/>
      <c r="G112" s="208"/>
      <c r="H112" s="208"/>
      <c r="I112" s="208"/>
      <c r="J112" s="208"/>
      <c r="K112" s="208"/>
      <c r="L112" s="208"/>
      <c r="M112" s="208"/>
      <c r="N112" s="209"/>
      <c r="O112" s="458"/>
      <c r="P112" s="459"/>
      <c r="Q112" s="459"/>
      <c r="R112" s="459"/>
      <c r="S112" s="460"/>
      <c r="T112" s="418"/>
      <c r="U112" s="419"/>
    </row>
    <row r="113" spans="1:21" x14ac:dyDescent="0.2">
      <c r="A113" s="204">
        <f t="shared" si="1"/>
        <v>90</v>
      </c>
      <c r="B113" s="207"/>
      <c r="C113" s="208"/>
      <c r="D113" s="208"/>
      <c r="E113" s="208"/>
      <c r="F113" s="208"/>
      <c r="G113" s="208"/>
      <c r="H113" s="208"/>
      <c r="I113" s="208"/>
      <c r="J113" s="208"/>
      <c r="K113" s="208"/>
      <c r="L113" s="208"/>
      <c r="M113" s="208"/>
      <c r="N113" s="209"/>
      <c r="O113" s="458"/>
      <c r="P113" s="459"/>
      <c r="Q113" s="459"/>
      <c r="R113" s="459"/>
      <c r="S113" s="460"/>
      <c r="T113" s="418"/>
      <c r="U113" s="419"/>
    </row>
    <row r="114" spans="1:21" x14ac:dyDescent="0.2">
      <c r="A114" s="204">
        <f t="shared" si="1"/>
        <v>91</v>
      </c>
      <c r="B114" s="207"/>
      <c r="C114" s="208"/>
      <c r="D114" s="208"/>
      <c r="E114" s="208"/>
      <c r="F114" s="208"/>
      <c r="G114" s="208"/>
      <c r="H114" s="208"/>
      <c r="I114" s="208"/>
      <c r="J114" s="208"/>
      <c r="K114" s="208"/>
      <c r="L114" s="208"/>
      <c r="M114" s="208"/>
      <c r="N114" s="209"/>
      <c r="O114" s="458"/>
      <c r="P114" s="459"/>
      <c r="Q114" s="459"/>
      <c r="R114" s="459"/>
      <c r="S114" s="460"/>
      <c r="T114" s="418"/>
      <c r="U114" s="419"/>
    </row>
    <row r="115" spans="1:21" x14ac:dyDescent="0.2">
      <c r="A115" s="204">
        <f t="shared" si="1"/>
        <v>92</v>
      </c>
      <c r="B115" s="207"/>
      <c r="C115" s="208"/>
      <c r="D115" s="208"/>
      <c r="E115" s="208"/>
      <c r="F115" s="208"/>
      <c r="G115" s="208"/>
      <c r="H115" s="208"/>
      <c r="I115" s="208"/>
      <c r="J115" s="208"/>
      <c r="K115" s="208"/>
      <c r="L115" s="208"/>
      <c r="M115" s="208"/>
      <c r="N115" s="209"/>
      <c r="O115" s="458"/>
      <c r="P115" s="459"/>
      <c r="Q115" s="459"/>
      <c r="R115" s="459"/>
      <c r="S115" s="460"/>
      <c r="T115" s="418"/>
      <c r="U115" s="419"/>
    </row>
    <row r="116" spans="1:21" x14ac:dyDescent="0.2">
      <c r="A116" s="204">
        <f t="shared" si="1"/>
        <v>93</v>
      </c>
      <c r="B116" s="207"/>
      <c r="C116" s="208"/>
      <c r="D116" s="208"/>
      <c r="E116" s="208"/>
      <c r="F116" s="208"/>
      <c r="G116" s="208"/>
      <c r="H116" s="208"/>
      <c r="I116" s="208"/>
      <c r="J116" s="208"/>
      <c r="K116" s="208"/>
      <c r="L116" s="208"/>
      <c r="M116" s="208"/>
      <c r="N116" s="209"/>
      <c r="O116" s="458"/>
      <c r="P116" s="459"/>
      <c r="Q116" s="459"/>
      <c r="R116" s="459"/>
      <c r="S116" s="460"/>
      <c r="T116" s="418"/>
      <c r="U116" s="419"/>
    </row>
    <row r="117" spans="1:21" x14ac:dyDescent="0.2">
      <c r="A117" s="204">
        <f t="shared" si="1"/>
        <v>94</v>
      </c>
      <c r="B117" s="207"/>
      <c r="C117" s="208"/>
      <c r="D117" s="208"/>
      <c r="E117" s="208"/>
      <c r="F117" s="208"/>
      <c r="G117" s="208"/>
      <c r="H117" s="208"/>
      <c r="I117" s="208"/>
      <c r="J117" s="208"/>
      <c r="K117" s="208"/>
      <c r="L117" s="208"/>
      <c r="M117" s="208"/>
      <c r="N117" s="209"/>
      <c r="O117" s="458"/>
      <c r="P117" s="459"/>
      <c r="Q117" s="459"/>
      <c r="R117" s="459"/>
      <c r="S117" s="460"/>
      <c r="T117" s="418"/>
      <c r="U117" s="419"/>
    </row>
    <row r="118" spans="1:21" x14ac:dyDescent="0.2">
      <c r="A118" s="204">
        <f t="shared" si="1"/>
        <v>95</v>
      </c>
      <c r="B118" s="207"/>
      <c r="C118" s="208"/>
      <c r="D118" s="208"/>
      <c r="E118" s="208"/>
      <c r="F118" s="208"/>
      <c r="G118" s="208"/>
      <c r="H118" s="208"/>
      <c r="I118" s="208"/>
      <c r="J118" s="208"/>
      <c r="K118" s="208"/>
      <c r="L118" s="208"/>
      <c r="M118" s="208"/>
      <c r="N118" s="209"/>
      <c r="O118" s="458"/>
      <c r="P118" s="459"/>
      <c r="Q118" s="459"/>
      <c r="R118" s="459"/>
      <c r="S118" s="460"/>
      <c r="T118" s="418"/>
      <c r="U118" s="419"/>
    </row>
    <row r="119" spans="1:21" x14ac:dyDescent="0.2">
      <c r="A119" s="204">
        <f t="shared" si="1"/>
        <v>96</v>
      </c>
      <c r="B119" s="207"/>
      <c r="C119" s="208"/>
      <c r="D119" s="208"/>
      <c r="E119" s="208"/>
      <c r="F119" s="208"/>
      <c r="G119" s="208"/>
      <c r="H119" s="208"/>
      <c r="I119" s="208"/>
      <c r="J119" s="208"/>
      <c r="K119" s="208"/>
      <c r="L119" s="208"/>
      <c r="M119" s="208"/>
      <c r="N119" s="209"/>
      <c r="O119" s="458"/>
      <c r="P119" s="459"/>
      <c r="Q119" s="459"/>
      <c r="R119" s="459"/>
      <c r="S119" s="460"/>
      <c r="T119" s="418"/>
      <c r="U119" s="419"/>
    </row>
    <row r="120" spans="1:21" x14ac:dyDescent="0.2">
      <c r="A120" s="204">
        <f t="shared" si="1"/>
        <v>97</v>
      </c>
      <c r="B120" s="207"/>
      <c r="C120" s="208"/>
      <c r="D120" s="208"/>
      <c r="E120" s="208"/>
      <c r="F120" s="208"/>
      <c r="G120" s="208"/>
      <c r="H120" s="208"/>
      <c r="I120" s="208"/>
      <c r="J120" s="208"/>
      <c r="K120" s="208"/>
      <c r="L120" s="208"/>
      <c r="M120" s="208"/>
      <c r="N120" s="209"/>
      <c r="O120" s="458"/>
      <c r="P120" s="459"/>
      <c r="Q120" s="459"/>
      <c r="R120" s="459"/>
      <c r="S120" s="460"/>
      <c r="T120" s="418"/>
      <c r="U120" s="419"/>
    </row>
    <row r="121" spans="1:21" x14ac:dyDescent="0.2">
      <c r="A121" s="204">
        <f t="shared" si="1"/>
        <v>98</v>
      </c>
      <c r="B121" s="207"/>
      <c r="C121" s="208"/>
      <c r="D121" s="208"/>
      <c r="E121" s="208"/>
      <c r="F121" s="208"/>
      <c r="G121" s="208"/>
      <c r="H121" s="208"/>
      <c r="I121" s="208"/>
      <c r="J121" s="208"/>
      <c r="K121" s="208"/>
      <c r="L121" s="208"/>
      <c r="M121" s="208"/>
      <c r="N121" s="209"/>
      <c r="O121" s="458"/>
      <c r="P121" s="459"/>
      <c r="Q121" s="459"/>
      <c r="R121" s="459"/>
      <c r="S121" s="460"/>
      <c r="T121" s="418"/>
      <c r="U121" s="419"/>
    </row>
    <row r="122" spans="1:21" x14ac:dyDescent="0.2">
      <c r="A122" s="204">
        <f t="shared" si="1"/>
        <v>99</v>
      </c>
      <c r="B122" s="207"/>
      <c r="C122" s="208"/>
      <c r="D122" s="208"/>
      <c r="E122" s="208"/>
      <c r="F122" s="208"/>
      <c r="G122" s="208"/>
      <c r="H122" s="208"/>
      <c r="I122" s="208"/>
      <c r="J122" s="208"/>
      <c r="K122" s="208"/>
      <c r="L122" s="208"/>
      <c r="M122" s="208"/>
      <c r="N122" s="209"/>
      <c r="O122" s="458"/>
      <c r="P122" s="459"/>
      <c r="Q122" s="459"/>
      <c r="R122" s="459"/>
      <c r="S122" s="460"/>
      <c r="T122" s="418"/>
      <c r="U122" s="419"/>
    </row>
    <row r="123" spans="1:21" x14ac:dyDescent="0.2">
      <c r="A123" s="204">
        <f t="shared" si="1"/>
        <v>100</v>
      </c>
      <c r="B123" s="207"/>
      <c r="C123" s="208"/>
      <c r="D123" s="208"/>
      <c r="E123" s="208"/>
      <c r="F123" s="208"/>
      <c r="G123" s="208"/>
      <c r="H123" s="208"/>
      <c r="I123" s="208"/>
      <c r="J123" s="208"/>
      <c r="K123" s="208"/>
      <c r="L123" s="208"/>
      <c r="M123" s="208"/>
      <c r="N123" s="209"/>
      <c r="O123" s="458"/>
      <c r="P123" s="459"/>
      <c r="Q123" s="459"/>
      <c r="R123" s="459"/>
      <c r="S123" s="460"/>
      <c r="T123" s="418"/>
      <c r="U123" s="419"/>
    </row>
    <row r="124" spans="1:21" x14ac:dyDescent="0.2">
      <c r="A124" s="204">
        <f t="shared" si="1"/>
        <v>101</v>
      </c>
      <c r="B124" s="207"/>
      <c r="C124" s="208"/>
      <c r="D124" s="208"/>
      <c r="E124" s="208"/>
      <c r="F124" s="208"/>
      <c r="G124" s="208"/>
      <c r="H124" s="208"/>
      <c r="I124" s="208"/>
      <c r="J124" s="208"/>
      <c r="K124" s="208"/>
      <c r="L124" s="208"/>
      <c r="M124" s="208"/>
      <c r="N124" s="209"/>
      <c r="O124" s="458"/>
      <c r="P124" s="459"/>
      <c r="Q124" s="459"/>
      <c r="R124" s="459"/>
      <c r="S124" s="460"/>
      <c r="T124" s="418"/>
      <c r="U124" s="419"/>
    </row>
    <row r="125" spans="1:21" x14ac:dyDescent="0.2">
      <c r="A125" s="204">
        <f t="shared" si="1"/>
        <v>102</v>
      </c>
      <c r="B125" s="207"/>
      <c r="C125" s="208"/>
      <c r="D125" s="208"/>
      <c r="E125" s="208"/>
      <c r="F125" s="208"/>
      <c r="G125" s="208"/>
      <c r="H125" s="208"/>
      <c r="I125" s="208"/>
      <c r="J125" s="208"/>
      <c r="K125" s="208"/>
      <c r="L125" s="208"/>
      <c r="M125" s="208"/>
      <c r="N125" s="209"/>
      <c r="O125" s="458"/>
      <c r="P125" s="459"/>
      <c r="Q125" s="459"/>
      <c r="R125" s="459"/>
      <c r="S125" s="460"/>
      <c r="T125" s="418"/>
      <c r="U125" s="419"/>
    </row>
    <row r="126" spans="1:21" x14ac:dyDescent="0.2">
      <c r="A126" s="204">
        <f t="shared" si="1"/>
        <v>103</v>
      </c>
      <c r="B126" s="207"/>
      <c r="C126" s="208"/>
      <c r="D126" s="208"/>
      <c r="E126" s="208"/>
      <c r="F126" s="208"/>
      <c r="G126" s="208"/>
      <c r="H126" s="208"/>
      <c r="I126" s="208"/>
      <c r="J126" s="208"/>
      <c r="K126" s="208"/>
      <c r="L126" s="208"/>
      <c r="M126" s="208"/>
      <c r="N126" s="209"/>
      <c r="O126" s="458"/>
      <c r="P126" s="459"/>
      <c r="Q126" s="459"/>
      <c r="R126" s="459"/>
      <c r="S126" s="460"/>
      <c r="T126" s="418"/>
      <c r="U126" s="419"/>
    </row>
    <row r="127" spans="1:21" x14ac:dyDescent="0.2">
      <c r="A127" s="204">
        <f t="shared" si="1"/>
        <v>104</v>
      </c>
      <c r="B127" s="207"/>
      <c r="C127" s="208"/>
      <c r="D127" s="208"/>
      <c r="E127" s="208"/>
      <c r="F127" s="208"/>
      <c r="G127" s="208"/>
      <c r="H127" s="208"/>
      <c r="I127" s="208"/>
      <c r="J127" s="208"/>
      <c r="K127" s="208"/>
      <c r="L127" s="208"/>
      <c r="M127" s="208"/>
      <c r="N127" s="209"/>
      <c r="O127" s="458"/>
      <c r="P127" s="459"/>
      <c r="Q127" s="459"/>
      <c r="R127" s="459"/>
      <c r="S127" s="460"/>
      <c r="T127" s="418"/>
      <c r="U127" s="419"/>
    </row>
    <row r="128" spans="1:21" x14ac:dyDescent="0.2">
      <c r="B128" s="210"/>
    </row>
    <row r="129" spans="2:2" x14ac:dyDescent="0.2">
      <c r="B129" s="210"/>
    </row>
    <row r="130" spans="2:2" x14ac:dyDescent="0.2">
      <c r="B130" s="210"/>
    </row>
    <row r="131" spans="2:2" x14ac:dyDescent="0.2">
      <c r="B131" s="210"/>
    </row>
    <row r="132" spans="2:2" x14ac:dyDescent="0.2">
      <c r="B132" s="210"/>
    </row>
    <row r="133" spans="2:2" x14ac:dyDescent="0.2">
      <c r="B133" s="210"/>
    </row>
    <row r="134" spans="2:2" x14ac:dyDescent="0.2">
      <c r="B134" s="210"/>
    </row>
    <row r="135" spans="2:2" x14ac:dyDescent="0.2">
      <c r="B135" s="210"/>
    </row>
    <row r="136" spans="2:2" x14ac:dyDescent="0.2">
      <c r="B136" s="210"/>
    </row>
    <row r="137" spans="2:2" x14ac:dyDescent="0.2">
      <c r="B137" s="210"/>
    </row>
    <row r="138" spans="2:2" x14ac:dyDescent="0.2">
      <c r="B138" s="210"/>
    </row>
    <row r="139" spans="2:2" x14ac:dyDescent="0.2">
      <c r="B139" s="210"/>
    </row>
    <row r="140" spans="2:2" x14ac:dyDescent="0.2">
      <c r="B140" s="210"/>
    </row>
    <row r="141" spans="2:2" x14ac:dyDescent="0.2">
      <c r="B141" s="210"/>
    </row>
    <row r="142" spans="2:2" x14ac:dyDescent="0.2">
      <c r="B142" s="210"/>
    </row>
    <row r="143" spans="2:2" x14ac:dyDescent="0.2">
      <c r="B143" s="210"/>
    </row>
    <row r="144" spans="2:2" x14ac:dyDescent="0.2">
      <c r="B144" s="210"/>
    </row>
    <row r="145" spans="2:2" x14ac:dyDescent="0.2">
      <c r="B145" s="210"/>
    </row>
    <row r="146" spans="2:2" x14ac:dyDescent="0.2">
      <c r="B146" s="210"/>
    </row>
    <row r="147" spans="2:2" x14ac:dyDescent="0.2">
      <c r="B147" s="210"/>
    </row>
    <row r="148" spans="2:2" x14ac:dyDescent="0.2">
      <c r="B148" s="210"/>
    </row>
    <row r="149" spans="2:2" x14ac:dyDescent="0.2">
      <c r="B149" s="210"/>
    </row>
    <row r="150" spans="2:2" x14ac:dyDescent="0.2">
      <c r="B150" s="210"/>
    </row>
    <row r="151" spans="2:2" x14ac:dyDescent="0.2">
      <c r="B151" s="210"/>
    </row>
    <row r="152" spans="2:2" x14ac:dyDescent="0.2">
      <c r="B152" s="210"/>
    </row>
    <row r="153" spans="2:2" x14ac:dyDescent="0.2">
      <c r="B153" s="210"/>
    </row>
    <row r="154" spans="2:2" x14ac:dyDescent="0.2">
      <c r="B154" s="210"/>
    </row>
    <row r="155" spans="2:2" x14ac:dyDescent="0.2">
      <c r="B155" s="210"/>
    </row>
    <row r="156" spans="2:2" x14ac:dyDescent="0.2">
      <c r="B156" s="210"/>
    </row>
    <row r="157" spans="2:2" x14ac:dyDescent="0.2">
      <c r="B157" s="210"/>
    </row>
    <row r="158" spans="2:2" x14ac:dyDescent="0.2">
      <c r="B158" s="210"/>
    </row>
    <row r="159" spans="2:2" x14ac:dyDescent="0.2">
      <c r="B159" s="210"/>
    </row>
    <row r="160" spans="2:2" x14ac:dyDescent="0.2">
      <c r="B160" s="210"/>
    </row>
    <row r="161" spans="2:2" x14ac:dyDescent="0.2">
      <c r="B161" s="210"/>
    </row>
    <row r="162" spans="2:2" x14ac:dyDescent="0.2">
      <c r="B162" s="210"/>
    </row>
    <row r="163" spans="2:2" x14ac:dyDescent="0.2">
      <c r="B163" s="210"/>
    </row>
    <row r="164" spans="2:2" x14ac:dyDescent="0.2">
      <c r="B164" s="210"/>
    </row>
    <row r="165" spans="2:2" x14ac:dyDescent="0.2">
      <c r="B165" s="210"/>
    </row>
    <row r="166" spans="2:2" x14ac:dyDescent="0.2">
      <c r="B166" s="210"/>
    </row>
    <row r="167" spans="2:2" x14ac:dyDescent="0.2">
      <c r="B167" s="210"/>
    </row>
    <row r="168" spans="2:2" x14ac:dyDescent="0.2">
      <c r="B168" s="210"/>
    </row>
    <row r="169" spans="2:2" x14ac:dyDescent="0.2">
      <c r="B169" s="210"/>
    </row>
    <row r="170" spans="2:2" x14ac:dyDescent="0.2">
      <c r="B170" s="210"/>
    </row>
    <row r="171" spans="2:2" x14ac:dyDescent="0.2">
      <c r="B171" s="210"/>
    </row>
    <row r="172" spans="2:2" x14ac:dyDescent="0.2">
      <c r="B172" s="210"/>
    </row>
    <row r="173" spans="2:2" x14ac:dyDescent="0.2">
      <c r="B173" s="210"/>
    </row>
    <row r="174" spans="2:2" x14ac:dyDescent="0.2">
      <c r="B174" s="210"/>
    </row>
    <row r="175" spans="2:2" x14ac:dyDescent="0.2">
      <c r="B175" s="210"/>
    </row>
    <row r="176" spans="2:2" x14ac:dyDescent="0.2">
      <c r="B176" s="210"/>
    </row>
    <row r="177" spans="2:2" x14ac:dyDescent="0.2">
      <c r="B177" s="210"/>
    </row>
    <row r="178" spans="2:2" x14ac:dyDescent="0.2">
      <c r="B178" s="210"/>
    </row>
    <row r="179" spans="2:2" x14ac:dyDescent="0.2">
      <c r="B179" s="210"/>
    </row>
    <row r="180" spans="2:2" x14ac:dyDescent="0.2">
      <c r="B180" s="210"/>
    </row>
    <row r="181" spans="2:2" x14ac:dyDescent="0.2">
      <c r="B181" s="210"/>
    </row>
    <row r="182" spans="2:2" x14ac:dyDescent="0.2">
      <c r="B182" s="210"/>
    </row>
    <row r="183" spans="2:2" x14ac:dyDescent="0.2">
      <c r="B183" s="210"/>
    </row>
    <row r="184" spans="2:2" x14ac:dyDescent="0.2">
      <c r="B184" s="210"/>
    </row>
    <row r="185" spans="2:2" x14ac:dyDescent="0.2">
      <c r="B185" s="210"/>
    </row>
    <row r="186" spans="2:2" x14ac:dyDescent="0.2">
      <c r="B186" s="210"/>
    </row>
    <row r="187" spans="2:2" x14ac:dyDescent="0.2">
      <c r="B187" s="210"/>
    </row>
    <row r="188" spans="2:2" x14ac:dyDescent="0.2">
      <c r="B188" s="210"/>
    </row>
    <row r="189" spans="2:2" x14ac:dyDescent="0.2">
      <c r="B189" s="210"/>
    </row>
    <row r="190" spans="2:2" x14ac:dyDescent="0.2">
      <c r="B190" s="210"/>
    </row>
    <row r="191" spans="2:2" x14ac:dyDescent="0.2">
      <c r="B191" s="210"/>
    </row>
    <row r="192" spans="2:2" x14ac:dyDescent="0.2">
      <c r="B192" s="210"/>
    </row>
    <row r="193" spans="2:2" x14ac:dyDescent="0.2">
      <c r="B193" s="210"/>
    </row>
    <row r="194" spans="2:2" x14ac:dyDescent="0.2">
      <c r="B194" s="210"/>
    </row>
    <row r="195" spans="2:2" x14ac:dyDescent="0.2">
      <c r="B195" s="210"/>
    </row>
    <row r="196" spans="2:2" x14ac:dyDescent="0.2">
      <c r="B196" s="210"/>
    </row>
    <row r="197" spans="2:2" x14ac:dyDescent="0.2">
      <c r="B197" s="210"/>
    </row>
    <row r="198" spans="2:2" x14ac:dyDescent="0.2">
      <c r="B198" s="210"/>
    </row>
    <row r="199" spans="2:2" x14ac:dyDescent="0.2">
      <c r="B199" s="210"/>
    </row>
    <row r="200" spans="2:2" x14ac:dyDescent="0.2">
      <c r="B200" s="210"/>
    </row>
    <row r="201" spans="2:2" x14ac:dyDescent="0.2">
      <c r="B201" s="210"/>
    </row>
    <row r="202" spans="2:2" x14ac:dyDescent="0.2">
      <c r="B202" s="210"/>
    </row>
    <row r="203" spans="2:2" x14ac:dyDescent="0.2">
      <c r="B203" s="210"/>
    </row>
    <row r="204" spans="2:2" x14ac:dyDescent="0.2">
      <c r="B204" s="210"/>
    </row>
    <row r="205" spans="2:2" x14ac:dyDescent="0.2">
      <c r="B205" s="210"/>
    </row>
    <row r="206" spans="2:2" x14ac:dyDescent="0.2">
      <c r="B206" s="210"/>
    </row>
    <row r="207" spans="2:2" x14ac:dyDescent="0.2">
      <c r="B207" s="210"/>
    </row>
    <row r="208" spans="2:2" x14ac:dyDescent="0.2">
      <c r="B208" s="210"/>
    </row>
    <row r="209" spans="2:2" x14ac:dyDescent="0.2">
      <c r="B209" s="210"/>
    </row>
    <row r="210" spans="2:2" x14ac:dyDescent="0.2">
      <c r="B210" s="210"/>
    </row>
    <row r="211" spans="2:2" x14ac:dyDescent="0.2">
      <c r="B211" s="210"/>
    </row>
    <row r="212" spans="2:2" x14ac:dyDescent="0.2">
      <c r="B212" s="210"/>
    </row>
    <row r="213" spans="2:2" x14ac:dyDescent="0.2">
      <c r="B213" s="210"/>
    </row>
    <row r="214" spans="2:2" x14ac:dyDescent="0.2">
      <c r="B214" s="210"/>
    </row>
    <row r="215" spans="2:2" x14ac:dyDescent="0.2">
      <c r="B215" s="210"/>
    </row>
    <row r="216" spans="2:2" x14ac:dyDescent="0.2">
      <c r="B216" s="210"/>
    </row>
    <row r="217" spans="2:2" x14ac:dyDescent="0.2">
      <c r="B217" s="210"/>
    </row>
    <row r="218" spans="2:2" x14ac:dyDescent="0.2">
      <c r="B218" s="210"/>
    </row>
    <row r="219" spans="2:2" x14ac:dyDescent="0.2">
      <c r="B219" s="210"/>
    </row>
    <row r="220" spans="2:2" x14ac:dyDescent="0.2">
      <c r="B220" s="210"/>
    </row>
    <row r="221" spans="2:2" x14ac:dyDescent="0.2">
      <c r="B221" s="210"/>
    </row>
    <row r="222" spans="2:2" x14ac:dyDescent="0.2">
      <c r="B222" s="210"/>
    </row>
    <row r="223" spans="2:2" x14ac:dyDescent="0.2">
      <c r="B223" s="210"/>
    </row>
    <row r="224" spans="2:2" x14ac:dyDescent="0.2">
      <c r="B224" s="210"/>
    </row>
    <row r="225" spans="2:2" x14ac:dyDescent="0.2">
      <c r="B225" s="210"/>
    </row>
    <row r="226" spans="2:2" x14ac:dyDescent="0.2">
      <c r="B226" s="210"/>
    </row>
    <row r="227" spans="2:2" x14ac:dyDescent="0.2">
      <c r="B227" s="210"/>
    </row>
    <row r="228" spans="2:2" x14ac:dyDescent="0.2">
      <c r="B228" s="210"/>
    </row>
    <row r="229" spans="2:2" x14ac:dyDescent="0.2">
      <c r="B229" s="210"/>
    </row>
    <row r="230" spans="2:2" x14ac:dyDescent="0.2">
      <c r="B230" s="210"/>
    </row>
    <row r="231" spans="2:2" x14ac:dyDescent="0.2">
      <c r="B231" s="210"/>
    </row>
    <row r="232" spans="2:2" x14ac:dyDescent="0.2">
      <c r="B232" s="210"/>
    </row>
    <row r="233" spans="2:2" x14ac:dyDescent="0.2">
      <c r="B233" s="210"/>
    </row>
    <row r="234" spans="2:2" x14ac:dyDescent="0.2">
      <c r="B234" s="210"/>
    </row>
    <row r="235" spans="2:2" x14ac:dyDescent="0.2">
      <c r="B235" s="210"/>
    </row>
    <row r="236" spans="2:2" x14ac:dyDescent="0.2">
      <c r="B236" s="210"/>
    </row>
    <row r="237" spans="2:2" x14ac:dyDescent="0.2">
      <c r="B237" s="210"/>
    </row>
    <row r="238" spans="2:2" x14ac:dyDescent="0.2">
      <c r="B238" s="210"/>
    </row>
    <row r="239" spans="2:2" x14ac:dyDescent="0.2">
      <c r="B239" s="210"/>
    </row>
    <row r="240" spans="2:2" x14ac:dyDescent="0.2">
      <c r="B240" s="210"/>
    </row>
    <row r="241" spans="2:2" x14ac:dyDescent="0.2">
      <c r="B241" s="210"/>
    </row>
    <row r="242" spans="2:2" x14ac:dyDescent="0.2">
      <c r="B242" s="210"/>
    </row>
    <row r="243" spans="2:2" x14ac:dyDescent="0.2">
      <c r="B243" s="210"/>
    </row>
    <row r="244" spans="2:2" x14ac:dyDescent="0.2">
      <c r="B244" s="210"/>
    </row>
    <row r="245" spans="2:2" x14ac:dyDescent="0.2">
      <c r="B245" s="210"/>
    </row>
    <row r="246" spans="2:2" x14ac:dyDescent="0.2">
      <c r="B246" s="210"/>
    </row>
    <row r="247" spans="2:2" x14ac:dyDescent="0.2">
      <c r="B247" s="210"/>
    </row>
    <row r="248" spans="2:2" x14ac:dyDescent="0.2">
      <c r="B248" s="210"/>
    </row>
    <row r="249" spans="2:2" x14ac:dyDescent="0.2">
      <c r="B249" s="210"/>
    </row>
    <row r="250" spans="2:2" x14ac:dyDescent="0.2">
      <c r="B250" s="210"/>
    </row>
    <row r="251" spans="2:2" x14ac:dyDescent="0.2">
      <c r="B251" s="210"/>
    </row>
    <row r="252" spans="2:2" x14ac:dyDescent="0.2">
      <c r="B252" s="210"/>
    </row>
    <row r="253" spans="2:2" x14ac:dyDescent="0.2">
      <c r="B253" s="210"/>
    </row>
    <row r="254" spans="2:2" x14ac:dyDescent="0.2">
      <c r="B254" s="210"/>
    </row>
    <row r="255" spans="2:2" x14ac:dyDescent="0.2">
      <c r="B255" s="210"/>
    </row>
    <row r="256" spans="2:2" x14ac:dyDescent="0.2">
      <c r="B256" s="210"/>
    </row>
    <row r="257" spans="2:2" x14ac:dyDescent="0.2">
      <c r="B257" s="210"/>
    </row>
    <row r="258" spans="2:2" x14ac:dyDescent="0.2">
      <c r="B258" s="210"/>
    </row>
    <row r="259" spans="2:2" x14ac:dyDescent="0.2">
      <c r="B259" s="210"/>
    </row>
    <row r="260" spans="2:2" x14ac:dyDescent="0.2">
      <c r="B260" s="210"/>
    </row>
    <row r="261" spans="2:2" x14ac:dyDescent="0.2">
      <c r="B261" s="210"/>
    </row>
    <row r="262" spans="2:2" x14ac:dyDescent="0.2">
      <c r="B262" s="210"/>
    </row>
    <row r="263" spans="2:2" x14ac:dyDescent="0.2">
      <c r="B263" s="210"/>
    </row>
    <row r="264" spans="2:2" x14ac:dyDescent="0.2">
      <c r="B264" s="210"/>
    </row>
    <row r="265" spans="2:2" x14ac:dyDescent="0.2">
      <c r="B265" s="210"/>
    </row>
    <row r="266" spans="2:2" x14ac:dyDescent="0.2">
      <c r="B266" s="210"/>
    </row>
    <row r="267" spans="2:2" x14ac:dyDescent="0.2">
      <c r="B267" s="210"/>
    </row>
    <row r="268" spans="2:2" x14ac:dyDescent="0.2">
      <c r="B268" s="210"/>
    </row>
    <row r="269" spans="2:2" x14ac:dyDescent="0.2">
      <c r="B269" s="210"/>
    </row>
    <row r="270" spans="2:2" x14ac:dyDescent="0.2">
      <c r="B270" s="210"/>
    </row>
    <row r="271" spans="2:2" x14ac:dyDescent="0.2">
      <c r="B271" s="210"/>
    </row>
    <row r="272" spans="2:2" x14ac:dyDescent="0.2">
      <c r="B272" s="210"/>
    </row>
    <row r="273" spans="2:2" x14ac:dyDescent="0.2">
      <c r="B273" s="210"/>
    </row>
    <row r="274" spans="2:2" x14ac:dyDescent="0.2">
      <c r="B274" s="210"/>
    </row>
    <row r="275" spans="2:2" x14ac:dyDescent="0.2">
      <c r="B275" s="210"/>
    </row>
    <row r="276" spans="2:2" x14ac:dyDescent="0.2">
      <c r="B276" s="210"/>
    </row>
    <row r="277" spans="2:2" x14ac:dyDescent="0.2">
      <c r="B277" s="210"/>
    </row>
    <row r="278" spans="2:2" x14ac:dyDescent="0.2">
      <c r="B278" s="210"/>
    </row>
    <row r="279" spans="2:2" x14ac:dyDescent="0.2">
      <c r="B279" s="210"/>
    </row>
    <row r="280" spans="2:2" x14ac:dyDescent="0.2">
      <c r="B280" s="210"/>
    </row>
    <row r="281" spans="2:2" x14ac:dyDescent="0.2">
      <c r="B281" s="210"/>
    </row>
    <row r="282" spans="2:2" x14ac:dyDescent="0.2">
      <c r="B282" s="210"/>
    </row>
    <row r="283" spans="2:2" x14ac:dyDescent="0.2">
      <c r="B283" s="210"/>
    </row>
    <row r="284" spans="2:2" x14ac:dyDescent="0.2">
      <c r="B284" s="210"/>
    </row>
    <row r="285" spans="2:2" x14ac:dyDescent="0.2">
      <c r="B285" s="210"/>
    </row>
    <row r="286" spans="2:2" x14ac:dyDescent="0.2">
      <c r="B286" s="210"/>
    </row>
    <row r="287" spans="2:2" x14ac:dyDescent="0.2">
      <c r="B287" s="210"/>
    </row>
    <row r="288" spans="2:2" x14ac:dyDescent="0.2">
      <c r="B288" s="210"/>
    </row>
    <row r="289" spans="2:2" x14ac:dyDescent="0.2">
      <c r="B289" s="210"/>
    </row>
    <row r="290" spans="2:2" x14ac:dyDescent="0.2">
      <c r="B290" s="210"/>
    </row>
    <row r="291" spans="2:2" x14ac:dyDescent="0.2">
      <c r="B291" s="210"/>
    </row>
    <row r="292" spans="2:2" x14ac:dyDescent="0.2">
      <c r="B292" s="210"/>
    </row>
    <row r="293" spans="2:2" x14ac:dyDescent="0.2">
      <c r="B293" s="210"/>
    </row>
    <row r="294" spans="2:2" x14ac:dyDescent="0.2">
      <c r="B294" s="210"/>
    </row>
    <row r="295" spans="2:2" x14ac:dyDescent="0.2">
      <c r="B295" s="210"/>
    </row>
    <row r="296" spans="2:2" x14ac:dyDescent="0.2">
      <c r="B296" s="210"/>
    </row>
    <row r="297" spans="2:2" x14ac:dyDescent="0.2">
      <c r="B297" s="210"/>
    </row>
    <row r="298" spans="2:2" x14ac:dyDescent="0.2">
      <c r="B298" s="210"/>
    </row>
    <row r="299" spans="2:2" x14ac:dyDescent="0.2">
      <c r="B299" s="210"/>
    </row>
    <row r="300" spans="2:2" x14ac:dyDescent="0.2">
      <c r="B300" s="210"/>
    </row>
    <row r="301" spans="2:2" x14ac:dyDescent="0.2">
      <c r="B301" s="210"/>
    </row>
    <row r="302" spans="2:2" x14ac:dyDescent="0.2">
      <c r="B302" s="210"/>
    </row>
    <row r="303" spans="2:2" x14ac:dyDescent="0.2">
      <c r="B303" s="210"/>
    </row>
    <row r="304" spans="2:2" x14ac:dyDescent="0.2">
      <c r="B304" s="210"/>
    </row>
    <row r="305" spans="2:2" x14ac:dyDescent="0.2">
      <c r="B305" s="210"/>
    </row>
    <row r="306" spans="2:2" x14ac:dyDescent="0.2">
      <c r="B306" s="210"/>
    </row>
    <row r="307" spans="2:2" x14ac:dyDescent="0.2">
      <c r="B307" s="210"/>
    </row>
    <row r="308" spans="2:2" x14ac:dyDescent="0.2">
      <c r="B308" s="210"/>
    </row>
    <row r="309" spans="2:2" x14ac:dyDescent="0.2">
      <c r="B309" s="210"/>
    </row>
    <row r="310" spans="2:2" x14ac:dyDescent="0.2">
      <c r="B310" s="210"/>
    </row>
    <row r="311" spans="2:2" x14ac:dyDescent="0.2">
      <c r="B311" s="210"/>
    </row>
    <row r="312" spans="2:2" x14ac:dyDescent="0.2">
      <c r="B312" s="210"/>
    </row>
    <row r="313" spans="2:2" x14ac:dyDescent="0.2">
      <c r="B313" s="210"/>
    </row>
    <row r="314" spans="2:2" x14ac:dyDescent="0.2">
      <c r="B314" s="210"/>
    </row>
    <row r="315" spans="2:2" x14ac:dyDescent="0.2">
      <c r="B315" s="210"/>
    </row>
    <row r="316" spans="2:2" x14ac:dyDescent="0.2">
      <c r="B316" s="210"/>
    </row>
    <row r="317" spans="2:2" x14ac:dyDescent="0.2">
      <c r="B317" s="210"/>
    </row>
    <row r="318" spans="2:2" x14ac:dyDescent="0.2">
      <c r="B318" s="210"/>
    </row>
    <row r="319" spans="2:2" x14ac:dyDescent="0.2">
      <c r="B319" s="210"/>
    </row>
    <row r="320" spans="2:2" x14ac:dyDescent="0.2">
      <c r="B320" s="210"/>
    </row>
    <row r="321" spans="2:2" x14ac:dyDescent="0.2">
      <c r="B321" s="210"/>
    </row>
    <row r="322" spans="2:2" x14ac:dyDescent="0.2">
      <c r="B322" s="210"/>
    </row>
    <row r="323" spans="2:2" x14ac:dyDescent="0.2">
      <c r="B323" s="210"/>
    </row>
    <row r="324" spans="2:2" x14ac:dyDescent="0.2">
      <c r="B324" s="210"/>
    </row>
    <row r="325" spans="2:2" x14ac:dyDescent="0.2">
      <c r="B325" s="210"/>
    </row>
    <row r="326" spans="2:2" x14ac:dyDescent="0.2">
      <c r="B326" s="210"/>
    </row>
    <row r="327" spans="2:2" x14ac:dyDescent="0.2">
      <c r="B327" s="210"/>
    </row>
    <row r="328" spans="2:2" x14ac:dyDescent="0.2">
      <c r="B328" s="210"/>
    </row>
    <row r="329" spans="2:2" x14ac:dyDescent="0.2">
      <c r="B329" s="210"/>
    </row>
    <row r="330" spans="2:2" x14ac:dyDescent="0.2">
      <c r="B330" s="210"/>
    </row>
    <row r="331" spans="2:2" x14ac:dyDescent="0.2">
      <c r="B331" s="210"/>
    </row>
    <row r="332" spans="2:2" x14ac:dyDescent="0.2">
      <c r="B332" s="210"/>
    </row>
    <row r="333" spans="2:2" x14ac:dyDescent="0.2">
      <c r="B333" s="210"/>
    </row>
    <row r="334" spans="2:2" x14ac:dyDescent="0.2">
      <c r="B334" s="210"/>
    </row>
    <row r="335" spans="2:2" x14ac:dyDescent="0.2">
      <c r="B335" s="210"/>
    </row>
    <row r="336" spans="2:2" x14ac:dyDescent="0.2">
      <c r="B336" s="210"/>
    </row>
    <row r="337" spans="2:2" x14ac:dyDescent="0.2">
      <c r="B337" s="210"/>
    </row>
    <row r="338" spans="2:2" x14ac:dyDescent="0.2">
      <c r="B338" s="210"/>
    </row>
    <row r="339" spans="2:2" x14ac:dyDescent="0.2">
      <c r="B339" s="210"/>
    </row>
    <row r="340" spans="2:2" x14ac:dyDescent="0.2">
      <c r="B340" s="210"/>
    </row>
    <row r="341" spans="2:2" x14ac:dyDescent="0.2">
      <c r="B341" s="210"/>
    </row>
    <row r="342" spans="2:2" x14ac:dyDescent="0.2">
      <c r="B342" s="210"/>
    </row>
    <row r="343" spans="2:2" x14ac:dyDescent="0.2">
      <c r="B343" s="210"/>
    </row>
    <row r="344" spans="2:2" x14ac:dyDescent="0.2">
      <c r="B344" s="210"/>
    </row>
    <row r="345" spans="2:2" x14ac:dyDescent="0.2">
      <c r="B345" s="210"/>
    </row>
    <row r="346" spans="2:2" x14ac:dyDescent="0.2">
      <c r="B346" s="210"/>
    </row>
    <row r="347" spans="2:2" x14ac:dyDescent="0.2">
      <c r="B347" s="210"/>
    </row>
    <row r="348" spans="2:2" x14ac:dyDescent="0.2">
      <c r="B348" s="210"/>
    </row>
    <row r="349" spans="2:2" x14ac:dyDescent="0.2">
      <c r="B349" s="210"/>
    </row>
    <row r="350" spans="2:2" x14ac:dyDescent="0.2">
      <c r="B350" s="210"/>
    </row>
    <row r="351" spans="2:2" x14ac:dyDescent="0.2">
      <c r="B351" s="210"/>
    </row>
    <row r="352" spans="2:2" x14ac:dyDescent="0.2">
      <c r="B352" s="210"/>
    </row>
    <row r="353" spans="2:2" x14ac:dyDescent="0.2">
      <c r="B353" s="210"/>
    </row>
    <row r="354" spans="2:2" x14ac:dyDescent="0.2">
      <c r="B354" s="210"/>
    </row>
    <row r="355" spans="2:2" x14ac:dyDescent="0.2">
      <c r="B355" s="210"/>
    </row>
    <row r="356" spans="2:2" x14ac:dyDescent="0.2">
      <c r="B356" s="210"/>
    </row>
    <row r="357" spans="2:2" x14ac:dyDescent="0.2">
      <c r="B357" s="210"/>
    </row>
    <row r="358" spans="2:2" x14ac:dyDescent="0.2">
      <c r="B358" s="210"/>
    </row>
    <row r="359" spans="2:2" x14ac:dyDescent="0.2">
      <c r="B359" s="210"/>
    </row>
    <row r="360" spans="2:2" x14ac:dyDescent="0.2">
      <c r="B360" s="210"/>
    </row>
    <row r="361" spans="2:2" x14ac:dyDescent="0.2">
      <c r="B361" s="210"/>
    </row>
    <row r="362" spans="2:2" x14ac:dyDescent="0.2">
      <c r="B362" s="210"/>
    </row>
    <row r="363" spans="2:2" x14ac:dyDescent="0.2">
      <c r="B363" s="210"/>
    </row>
    <row r="364" spans="2:2" x14ac:dyDescent="0.2">
      <c r="B364" s="210"/>
    </row>
    <row r="365" spans="2:2" x14ac:dyDescent="0.2">
      <c r="B365" s="210"/>
    </row>
    <row r="366" spans="2:2" x14ac:dyDescent="0.2">
      <c r="B366" s="210"/>
    </row>
    <row r="367" spans="2:2" x14ac:dyDescent="0.2">
      <c r="B367" s="210"/>
    </row>
    <row r="368" spans="2:2" x14ac:dyDescent="0.2">
      <c r="B368" s="210"/>
    </row>
    <row r="369" spans="2:2" x14ac:dyDescent="0.2">
      <c r="B369" s="210"/>
    </row>
    <row r="370" spans="2:2" x14ac:dyDescent="0.2">
      <c r="B370" s="210"/>
    </row>
    <row r="371" spans="2:2" x14ac:dyDescent="0.2">
      <c r="B371" s="210"/>
    </row>
    <row r="372" spans="2:2" x14ac:dyDescent="0.2">
      <c r="B372" s="210"/>
    </row>
    <row r="373" spans="2:2" x14ac:dyDescent="0.2">
      <c r="B373" s="210"/>
    </row>
    <row r="374" spans="2:2" x14ac:dyDescent="0.2">
      <c r="B374" s="210"/>
    </row>
    <row r="375" spans="2:2" x14ac:dyDescent="0.2">
      <c r="B375" s="210"/>
    </row>
    <row r="376" spans="2:2" x14ac:dyDescent="0.2">
      <c r="B376" s="210"/>
    </row>
    <row r="377" spans="2:2" x14ac:dyDescent="0.2">
      <c r="B377" s="210"/>
    </row>
    <row r="378" spans="2:2" x14ac:dyDescent="0.2">
      <c r="B378" s="210"/>
    </row>
    <row r="379" spans="2:2" x14ac:dyDescent="0.2">
      <c r="B379" s="210"/>
    </row>
    <row r="380" spans="2:2" x14ac:dyDescent="0.2">
      <c r="B380" s="210"/>
    </row>
    <row r="381" spans="2:2" x14ac:dyDescent="0.2">
      <c r="B381" s="210"/>
    </row>
    <row r="382" spans="2:2" x14ac:dyDescent="0.2">
      <c r="B382" s="210"/>
    </row>
    <row r="383" spans="2:2" x14ac:dyDescent="0.2">
      <c r="B383" s="210"/>
    </row>
    <row r="384" spans="2:2" x14ac:dyDescent="0.2">
      <c r="B384" s="210"/>
    </row>
    <row r="385" spans="2:2" x14ac:dyDescent="0.2">
      <c r="B385" s="210"/>
    </row>
    <row r="386" spans="2:2" x14ac:dyDescent="0.2">
      <c r="B386" s="210"/>
    </row>
    <row r="387" spans="2:2" x14ac:dyDescent="0.2">
      <c r="B387" s="210"/>
    </row>
    <row r="388" spans="2:2" x14ac:dyDescent="0.2">
      <c r="B388" s="210"/>
    </row>
    <row r="389" spans="2:2" x14ac:dyDescent="0.2">
      <c r="B389" s="210"/>
    </row>
    <row r="390" spans="2:2" x14ac:dyDescent="0.2">
      <c r="B390" s="210"/>
    </row>
    <row r="391" spans="2:2" x14ac:dyDescent="0.2">
      <c r="B391" s="210"/>
    </row>
    <row r="392" spans="2:2" x14ac:dyDescent="0.2">
      <c r="B392" s="210"/>
    </row>
    <row r="393" spans="2:2" x14ac:dyDescent="0.2">
      <c r="B393" s="210"/>
    </row>
    <row r="394" spans="2:2" x14ac:dyDescent="0.2">
      <c r="B394" s="210"/>
    </row>
    <row r="395" spans="2:2" x14ac:dyDescent="0.2">
      <c r="B395" s="210"/>
    </row>
    <row r="396" spans="2:2" x14ac:dyDescent="0.2">
      <c r="B396" s="210"/>
    </row>
    <row r="397" spans="2:2" x14ac:dyDescent="0.2">
      <c r="B397" s="210"/>
    </row>
    <row r="398" spans="2:2" x14ac:dyDescent="0.2">
      <c r="B398" s="210"/>
    </row>
    <row r="399" spans="2:2" x14ac:dyDescent="0.2">
      <c r="B399" s="210"/>
    </row>
    <row r="400" spans="2:2" x14ac:dyDescent="0.2">
      <c r="B400" s="210"/>
    </row>
    <row r="401" spans="2:2" x14ac:dyDescent="0.2">
      <c r="B401" s="210"/>
    </row>
    <row r="402" spans="2:2" x14ac:dyDescent="0.2">
      <c r="B402" s="210"/>
    </row>
    <row r="403" spans="2:2" x14ac:dyDescent="0.2">
      <c r="B403" s="210"/>
    </row>
    <row r="404" spans="2:2" x14ac:dyDescent="0.2">
      <c r="B404" s="210"/>
    </row>
    <row r="405" spans="2:2" x14ac:dyDescent="0.2">
      <c r="B405" s="210"/>
    </row>
    <row r="406" spans="2:2" x14ac:dyDescent="0.2">
      <c r="B406" s="210"/>
    </row>
  </sheetData>
  <mergeCells count="227">
    <mergeCell ref="I3:R3"/>
    <mergeCell ref="I2:R2"/>
    <mergeCell ref="B6:E6"/>
    <mergeCell ref="A21:U21"/>
    <mergeCell ref="O126:S126"/>
    <mergeCell ref="T126:U126"/>
    <mergeCell ref="O127:S127"/>
    <mergeCell ref="T127:U127"/>
    <mergeCell ref="I5:N5"/>
    <mergeCell ref="I4:N4"/>
    <mergeCell ref="O123:S123"/>
    <mergeCell ref="T123:U123"/>
    <mergeCell ref="O124:S124"/>
    <mergeCell ref="T124:U124"/>
    <mergeCell ref="O125:S125"/>
    <mergeCell ref="T125:U125"/>
    <mergeCell ref="O120:S120"/>
    <mergeCell ref="T120:U120"/>
    <mergeCell ref="O121:S121"/>
    <mergeCell ref="T121:U121"/>
    <mergeCell ref="O122:S122"/>
    <mergeCell ref="T122:U122"/>
    <mergeCell ref="O117:S117"/>
    <mergeCell ref="T117:U117"/>
    <mergeCell ref="O118:S118"/>
    <mergeCell ref="T118:U118"/>
    <mergeCell ref="O119:S119"/>
    <mergeCell ref="T119:U119"/>
    <mergeCell ref="O114:S114"/>
    <mergeCell ref="T114:U114"/>
    <mergeCell ref="O115:S115"/>
    <mergeCell ref="T115:U115"/>
    <mergeCell ref="O116:S116"/>
    <mergeCell ref="T116:U116"/>
    <mergeCell ref="O111:S111"/>
    <mergeCell ref="T111:U111"/>
    <mergeCell ref="O112:S112"/>
    <mergeCell ref="T112:U112"/>
    <mergeCell ref="O113:S113"/>
    <mergeCell ref="T113:U113"/>
    <mergeCell ref="O108:S108"/>
    <mergeCell ref="T108:U108"/>
    <mergeCell ref="O109:S109"/>
    <mergeCell ref="T109:U109"/>
    <mergeCell ref="O110:S110"/>
    <mergeCell ref="T110:U110"/>
    <mergeCell ref="O105:S105"/>
    <mergeCell ref="T105:U105"/>
    <mergeCell ref="O106:S106"/>
    <mergeCell ref="T106:U106"/>
    <mergeCell ref="O107:S107"/>
    <mergeCell ref="T107:U107"/>
    <mergeCell ref="O102:S102"/>
    <mergeCell ref="T102:U102"/>
    <mergeCell ref="O103:S103"/>
    <mergeCell ref="T103:U103"/>
    <mergeCell ref="O104:S104"/>
    <mergeCell ref="T104:U104"/>
    <mergeCell ref="O99:S99"/>
    <mergeCell ref="T99:U99"/>
    <mergeCell ref="O100:S100"/>
    <mergeCell ref="T100:U100"/>
    <mergeCell ref="O101:S101"/>
    <mergeCell ref="T101:U101"/>
    <mergeCell ref="O96:S96"/>
    <mergeCell ref="T96:U96"/>
    <mergeCell ref="O97:S97"/>
    <mergeCell ref="T97:U97"/>
    <mergeCell ref="O98:S98"/>
    <mergeCell ref="T98:U98"/>
    <mergeCell ref="O93:S93"/>
    <mergeCell ref="T93:U93"/>
    <mergeCell ref="O94:S94"/>
    <mergeCell ref="T94:U94"/>
    <mergeCell ref="O95:S95"/>
    <mergeCell ref="T95:U95"/>
    <mergeCell ref="O90:S90"/>
    <mergeCell ref="T90:U90"/>
    <mergeCell ref="O91:S91"/>
    <mergeCell ref="T91:U91"/>
    <mergeCell ref="O92:S92"/>
    <mergeCell ref="T92:U92"/>
    <mergeCell ref="O87:S87"/>
    <mergeCell ref="T87:U87"/>
    <mergeCell ref="O88:S88"/>
    <mergeCell ref="T88:U88"/>
    <mergeCell ref="O89:S89"/>
    <mergeCell ref="T89:U89"/>
    <mergeCell ref="O84:S84"/>
    <mergeCell ref="T84:U84"/>
    <mergeCell ref="O85:S85"/>
    <mergeCell ref="T85:U85"/>
    <mergeCell ref="O86:S86"/>
    <mergeCell ref="T86:U86"/>
    <mergeCell ref="O81:S81"/>
    <mergeCell ref="T81:U81"/>
    <mergeCell ref="O82:S82"/>
    <mergeCell ref="T82:U82"/>
    <mergeCell ref="O83:S83"/>
    <mergeCell ref="T83:U83"/>
    <mergeCell ref="O78:S78"/>
    <mergeCell ref="T78:U78"/>
    <mergeCell ref="O79:S79"/>
    <mergeCell ref="T79:U79"/>
    <mergeCell ref="O80:S80"/>
    <mergeCell ref="T80:U80"/>
    <mergeCell ref="O75:S75"/>
    <mergeCell ref="T75:U75"/>
    <mergeCell ref="O76:S76"/>
    <mergeCell ref="T76:U76"/>
    <mergeCell ref="O77:S77"/>
    <mergeCell ref="T77:U77"/>
    <mergeCell ref="O72:S72"/>
    <mergeCell ref="T72:U72"/>
    <mergeCell ref="O73:S73"/>
    <mergeCell ref="T73:U73"/>
    <mergeCell ref="O74:S74"/>
    <mergeCell ref="T74:U74"/>
    <mergeCell ref="O69:S69"/>
    <mergeCell ref="T69:U69"/>
    <mergeCell ref="O70:S70"/>
    <mergeCell ref="T70:U70"/>
    <mergeCell ref="O71:S71"/>
    <mergeCell ref="T71:U71"/>
    <mergeCell ref="O66:S66"/>
    <mergeCell ref="T66:U66"/>
    <mergeCell ref="O67:S67"/>
    <mergeCell ref="T67:U67"/>
    <mergeCell ref="O68:S68"/>
    <mergeCell ref="T68:U68"/>
    <mergeCell ref="O63:S63"/>
    <mergeCell ref="T63:U63"/>
    <mergeCell ref="O64:S64"/>
    <mergeCell ref="T64:U64"/>
    <mergeCell ref="O65:S65"/>
    <mergeCell ref="T65:U65"/>
    <mergeCell ref="O60:S60"/>
    <mergeCell ref="T60:U60"/>
    <mergeCell ref="O61:S61"/>
    <mergeCell ref="T61:U61"/>
    <mergeCell ref="O62:S62"/>
    <mergeCell ref="T62:U62"/>
    <mergeCell ref="O57:S57"/>
    <mergeCell ref="T57:U57"/>
    <mergeCell ref="O58:S58"/>
    <mergeCell ref="T58:U58"/>
    <mergeCell ref="O59:S59"/>
    <mergeCell ref="T59:U59"/>
    <mergeCell ref="O54:S54"/>
    <mergeCell ref="T54:U54"/>
    <mergeCell ref="O55:S55"/>
    <mergeCell ref="T55:U55"/>
    <mergeCell ref="O56:S56"/>
    <mergeCell ref="T56:U56"/>
    <mergeCell ref="O51:S51"/>
    <mergeCell ref="T51:U51"/>
    <mergeCell ref="O52:S52"/>
    <mergeCell ref="T52:U52"/>
    <mergeCell ref="O53:S53"/>
    <mergeCell ref="T53:U53"/>
    <mergeCell ref="O48:S48"/>
    <mergeCell ref="T48:U48"/>
    <mergeCell ref="O49:S49"/>
    <mergeCell ref="T49:U49"/>
    <mergeCell ref="O50:S50"/>
    <mergeCell ref="T50:U50"/>
    <mergeCell ref="O45:S45"/>
    <mergeCell ref="T45:U45"/>
    <mergeCell ref="O46:S46"/>
    <mergeCell ref="T46:U46"/>
    <mergeCell ref="O47:S47"/>
    <mergeCell ref="T47:U47"/>
    <mergeCell ref="O42:S42"/>
    <mergeCell ref="T42:U42"/>
    <mergeCell ref="O43:S43"/>
    <mergeCell ref="T43:U43"/>
    <mergeCell ref="O44:S44"/>
    <mergeCell ref="T44:U44"/>
    <mergeCell ref="O39:S39"/>
    <mergeCell ref="T39:U39"/>
    <mergeCell ref="O40:S40"/>
    <mergeCell ref="T40:U40"/>
    <mergeCell ref="O41:S41"/>
    <mergeCell ref="T41:U41"/>
    <mergeCell ref="O36:S36"/>
    <mergeCell ref="T36:U36"/>
    <mergeCell ref="O37:S37"/>
    <mergeCell ref="T37:U37"/>
    <mergeCell ref="O38:S38"/>
    <mergeCell ref="T38:U38"/>
    <mergeCell ref="O33:S33"/>
    <mergeCell ref="T33:U33"/>
    <mergeCell ref="O34:S34"/>
    <mergeCell ref="T34:U34"/>
    <mergeCell ref="O35:S35"/>
    <mergeCell ref="T35:U35"/>
    <mergeCell ref="O30:S30"/>
    <mergeCell ref="T30:U30"/>
    <mergeCell ref="O31:S31"/>
    <mergeCell ref="T31:U31"/>
    <mergeCell ref="O32:S32"/>
    <mergeCell ref="T32:U32"/>
    <mergeCell ref="O27:S27"/>
    <mergeCell ref="T27:U27"/>
    <mergeCell ref="O28:S28"/>
    <mergeCell ref="T28:U28"/>
    <mergeCell ref="O29:S29"/>
    <mergeCell ref="T29:U29"/>
    <mergeCell ref="O24:S24"/>
    <mergeCell ref="T24:U24"/>
    <mergeCell ref="O25:S25"/>
    <mergeCell ref="T25:U25"/>
    <mergeCell ref="O26:S26"/>
    <mergeCell ref="T26:U26"/>
    <mergeCell ref="L11:N14"/>
    <mergeCell ref="A17:N20"/>
    <mergeCell ref="A22:A23"/>
    <mergeCell ref="B22:N23"/>
    <mergeCell ref="O22:S23"/>
    <mergeCell ref="T22:U22"/>
    <mergeCell ref="T23:U23"/>
    <mergeCell ref="H7:N7"/>
    <mergeCell ref="H8:H9"/>
    <mergeCell ref="I8:I9"/>
    <mergeCell ref="J8:J9"/>
    <mergeCell ref="K8:K9"/>
    <mergeCell ref="L8:N9"/>
  </mergeCells>
  <printOptions horizontalCentered="1"/>
  <pageMargins left="0.5" right="0.5" top="1.5" bottom="0.75" header="0.5" footer="0.5"/>
  <pageSetup scale="87" fitToHeight="0" orientation="portrait" cellComments="atEnd" r:id="rId1"/>
  <headerFooter>
    <oddHeader>&amp;C&amp;"amlogo1,Regular"&amp;28AM
&amp;"-,Bold"&amp;18ALLGEIER, MARTIN and ASSOCIATES, INC.&amp;16
&amp;"-,Regular"&amp;10CONSULTING ENGINEERS&amp;"-,Bold"&amp;8
&amp;14DRAWING TRANSMITTAL AND RECORD</oddHeader>
    <oddFooter>&amp;C&amp;P of &amp;N&amp;R&amp;F</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Sheet1.PrintMe" altText="PDF ME">
                <anchor moveWithCells="1" sizeWithCells="1">
                  <from>
                    <xdr:col>22</xdr:col>
                    <xdr:colOff>142875</xdr:colOff>
                    <xdr:row>3</xdr:row>
                    <xdr:rowOff>0</xdr:rowOff>
                  </from>
                  <to>
                    <xdr:col>23</xdr:col>
                    <xdr:colOff>542925</xdr:colOff>
                    <xdr:row>6</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502"/>
  <sheetViews>
    <sheetView workbookViewId="0">
      <selection activeCell="C15" sqref="C15"/>
    </sheetView>
  </sheetViews>
  <sheetFormatPr defaultColWidth="9.140625" defaultRowHeight="15" x14ac:dyDescent="0.25"/>
  <cols>
    <col min="1" max="1" width="9.140625" style="8" customWidth="1"/>
    <col min="2" max="2" width="35.85546875" style="8" customWidth="1"/>
    <col min="3" max="3" width="48.85546875" style="1" bestFit="1" customWidth="1"/>
    <col min="4" max="16384" width="9.140625" style="1"/>
  </cols>
  <sheetData>
    <row r="1" spans="1:3" x14ac:dyDescent="0.25">
      <c r="A1" s="8" t="s">
        <v>58</v>
      </c>
      <c r="B1" s="8" t="s">
        <v>47</v>
      </c>
      <c r="C1" s="1" t="s">
        <v>48</v>
      </c>
    </row>
    <row r="2" spans="1:3" x14ac:dyDescent="0.25">
      <c r="A2" s="8">
        <v>1</v>
      </c>
      <c r="B2" s="8" t="str">
        <f t="shared" ref="B2:B65" ca="1" si="0">IFERROR(INDEX(MasterDwgNumber,A2,3),"")</f>
        <v>1006</v>
      </c>
      <c r="C2" s="21" t="str">
        <f t="shared" ref="C2:C65" ca="1" si="1">IFERROR(INDEX(MasterDwgNumber,A2,1),"")</f>
        <v>345kV DETAILS</v>
      </c>
    </row>
    <row r="3" spans="1:3" x14ac:dyDescent="0.25">
      <c r="A3" s="8">
        <v>2</v>
      </c>
      <c r="B3" s="8" t="str">
        <f t="shared" ca="1" si="0"/>
        <v>???</v>
      </c>
      <c r="C3" s="21" t="str">
        <f t="shared" ca="1" si="1"/>
        <v>???</v>
      </c>
    </row>
    <row r="4" spans="1:3" x14ac:dyDescent="0.25">
      <c r="A4" s="8">
        <v>3</v>
      </c>
      <c r="B4" s="8" t="str">
        <f t="shared" ca="1" si="0"/>
        <v>???</v>
      </c>
      <c r="C4" s="21" t="str">
        <f t="shared" ca="1" si="1"/>
        <v>???</v>
      </c>
    </row>
    <row r="5" spans="1:3" x14ac:dyDescent="0.25">
      <c r="A5" s="8">
        <v>4</v>
      </c>
      <c r="B5" s="8" t="str">
        <f t="shared" ca="1" si="0"/>
        <v>???</v>
      </c>
      <c r="C5" s="21" t="str">
        <f t="shared" ca="1" si="1"/>
        <v>???</v>
      </c>
    </row>
    <row r="6" spans="1:3" x14ac:dyDescent="0.25">
      <c r="A6" s="8">
        <v>5</v>
      </c>
      <c r="B6" s="8" t="str">
        <f t="shared" ca="1" si="0"/>
        <v>???</v>
      </c>
      <c r="C6" s="21" t="str">
        <f t="shared" ca="1" si="1"/>
        <v>???</v>
      </c>
    </row>
    <row r="7" spans="1:3" x14ac:dyDescent="0.25">
      <c r="A7" s="8">
        <v>6</v>
      </c>
      <c r="B7" s="8" t="str">
        <f t="shared" ca="1" si="0"/>
        <v>???</v>
      </c>
      <c r="C7" s="21" t="str">
        <f t="shared" ca="1" si="1"/>
        <v>???</v>
      </c>
    </row>
    <row r="8" spans="1:3" x14ac:dyDescent="0.25">
      <c r="A8" s="8">
        <v>7</v>
      </c>
      <c r="B8" s="8" t="str">
        <f t="shared" ca="1" si="0"/>
        <v>???</v>
      </c>
      <c r="C8" s="21" t="str">
        <f t="shared" ca="1" si="1"/>
        <v>???</v>
      </c>
    </row>
    <row r="9" spans="1:3" x14ac:dyDescent="0.25">
      <c r="A9" s="8">
        <v>8</v>
      </c>
      <c r="B9" s="8" t="str">
        <f t="shared" ca="1" si="0"/>
        <v>???</v>
      </c>
      <c r="C9" s="21" t="str">
        <f t="shared" ca="1" si="1"/>
        <v>???</v>
      </c>
    </row>
    <row r="10" spans="1:3" x14ac:dyDescent="0.25">
      <c r="A10" s="8">
        <v>9</v>
      </c>
      <c r="B10" s="8" t="str">
        <f t="shared" ca="1" si="0"/>
        <v>1008</v>
      </c>
      <c r="C10" s="21" t="str">
        <f t="shared" ca="1" si="1"/>
        <v xml:space="preserve">345kV DEADEND STRUCTURE (7-1) </v>
      </c>
    </row>
    <row r="11" spans="1:3" x14ac:dyDescent="0.25">
      <c r="A11" s="8">
        <v>10</v>
      </c>
      <c r="B11" s="8" t="str">
        <f t="shared" ca="1" si="0"/>
        <v>505</v>
      </c>
      <c r="C11" s="21" t="str">
        <f t="shared" ca="1" si="1"/>
        <v>FOREST SERVICE PERMIT AREA</v>
      </c>
    </row>
    <row r="12" spans="1:3" x14ac:dyDescent="0.25">
      <c r="A12" s="8">
        <v>11</v>
      </c>
      <c r="B12" s="8" t="str">
        <f t="shared" ca="1" si="0"/>
        <v>601</v>
      </c>
      <c r="C12" s="21" t="str">
        <f t="shared" ca="1" si="1"/>
        <v>GRADING PLAN</v>
      </c>
    </row>
    <row r="13" spans="1:3" x14ac:dyDescent="0.25">
      <c r="A13" s="8">
        <v>12</v>
      </c>
      <c r="B13" s="8" t="str">
        <f t="shared" ca="1" si="0"/>
        <v>605</v>
      </c>
      <c r="C13" s="21" t="str">
        <f t="shared" ca="1" si="1"/>
        <v>DRAIN DETAILS</v>
      </c>
    </row>
    <row r="14" spans="1:3" x14ac:dyDescent="0.25">
      <c r="A14" s="8">
        <v>13</v>
      </c>
      <c r="B14" s="8" t="str">
        <f t="shared" ca="1" si="0"/>
        <v>650</v>
      </c>
      <c r="C14" s="21" t="str">
        <f t="shared" ca="1" si="1"/>
        <v>SUBSTATION SURFACING PLAN</v>
      </c>
    </row>
    <row r="15" spans="1:3" x14ac:dyDescent="0.25">
      <c r="A15" s="8">
        <v>14</v>
      </c>
      <c r="B15" s="8" t="str">
        <f t="shared" ca="1" si="0"/>
        <v>655</v>
      </c>
      <c r="C15" s="21" t="str">
        <f t="shared" ca="1" si="1"/>
        <v>SUBSTATION SURFACING DETAILS</v>
      </c>
    </row>
    <row r="16" spans="1:3" x14ac:dyDescent="0.25">
      <c r="A16" s="8">
        <v>15</v>
      </c>
      <c r="B16" s="8" t="str">
        <f t="shared" ca="1" si="0"/>
        <v>701</v>
      </c>
      <c r="C16" s="21" t="str">
        <f t="shared" ca="1" si="1"/>
        <v>SECURITY FENCE PLAN</v>
      </c>
    </row>
    <row r="17" spans="1:3" x14ac:dyDescent="0.25">
      <c r="A17" s="8">
        <v>16</v>
      </c>
      <c r="B17" s="8" t="str">
        <f t="shared" ca="1" si="0"/>
        <v>702</v>
      </c>
      <c r="C17" s="21" t="str">
        <f t="shared" ca="1" si="1"/>
        <v>SECURITY FENCE DETAILS (ORIGINAL CONSTRUCTION)</v>
      </c>
    </row>
    <row r="18" spans="1:3" x14ac:dyDescent="0.25">
      <c r="A18" s="8">
        <v>17</v>
      </c>
      <c r="B18" s="8" t="str">
        <f t="shared" ca="1" si="0"/>
        <v>703</v>
      </c>
      <c r="C18" s="21" t="str">
        <f t="shared" ca="1" si="1"/>
        <v>SECURITY FENCE DETAILS - 1</v>
      </c>
    </row>
    <row r="19" spans="1:3" x14ac:dyDescent="0.25">
      <c r="A19" s="8">
        <v>18</v>
      </c>
      <c r="B19" s="8" t="str">
        <f t="shared" ca="1" si="0"/>
        <v>1001</v>
      </c>
      <c r="C19" s="21" t="str">
        <f t="shared" ca="1" si="1"/>
        <v>STRUCTURE LAYOUT</v>
      </c>
    </row>
    <row r="20" spans="1:3" x14ac:dyDescent="0.25">
      <c r="A20" s="8">
        <v>19</v>
      </c>
      <c r="B20" s="8" t="str">
        <f t="shared" ca="1" si="0"/>
        <v>1002</v>
      </c>
      <c r="C20" s="21" t="str">
        <f t="shared" ca="1" si="1"/>
        <v>345kV ELEVATION AA (SOUTH)</v>
      </c>
    </row>
    <row r="21" spans="1:3" x14ac:dyDescent="0.25">
      <c r="A21" s="8">
        <v>20</v>
      </c>
      <c r="B21" s="8" t="str">
        <f t="shared" ca="1" si="0"/>
        <v>1003</v>
      </c>
      <c r="C21" s="21" t="str">
        <f t="shared" ca="1" si="1"/>
        <v>345kV ELEVATION AA (NORTH)</v>
      </c>
    </row>
    <row r="22" spans="1:3" x14ac:dyDescent="0.25">
      <c r="A22" s="8">
        <v>21</v>
      </c>
      <c r="B22" s="8" t="str">
        <f t="shared" ca="1" si="0"/>
        <v/>
      </c>
      <c r="C22" s="21" t="str">
        <f t="shared" ca="1" si="1"/>
        <v/>
      </c>
    </row>
    <row r="23" spans="1:3" x14ac:dyDescent="0.25">
      <c r="A23" s="8">
        <v>22</v>
      </c>
      <c r="B23" s="8" t="str">
        <f t="shared" ca="1" si="0"/>
        <v/>
      </c>
      <c r="C23" s="21" t="str">
        <f t="shared" ca="1" si="1"/>
        <v/>
      </c>
    </row>
    <row r="24" spans="1:3" x14ac:dyDescent="0.25">
      <c r="A24" s="8">
        <v>23</v>
      </c>
      <c r="B24" s="8" t="str">
        <f t="shared" ca="1" si="0"/>
        <v/>
      </c>
      <c r="C24" s="21" t="str">
        <f t="shared" ca="1" si="1"/>
        <v/>
      </c>
    </row>
    <row r="25" spans="1:3" x14ac:dyDescent="0.25">
      <c r="A25" s="8">
        <v>24</v>
      </c>
      <c r="B25" s="8" t="str">
        <f t="shared" ca="1" si="0"/>
        <v/>
      </c>
      <c r="C25" s="21" t="str">
        <f t="shared" ca="1" si="1"/>
        <v/>
      </c>
    </row>
    <row r="26" spans="1:3" x14ac:dyDescent="0.25">
      <c r="A26" s="8">
        <v>25</v>
      </c>
      <c r="B26" s="8" t="str">
        <f t="shared" ca="1" si="0"/>
        <v/>
      </c>
      <c r="C26" s="21" t="str">
        <f t="shared" ca="1" si="1"/>
        <v/>
      </c>
    </row>
    <row r="27" spans="1:3" x14ac:dyDescent="0.25">
      <c r="A27" s="8">
        <v>26</v>
      </c>
      <c r="B27" s="8" t="str">
        <f t="shared" ca="1" si="0"/>
        <v/>
      </c>
      <c r="C27" s="21" t="str">
        <f t="shared" ca="1" si="1"/>
        <v/>
      </c>
    </row>
    <row r="28" spans="1:3" x14ac:dyDescent="0.25">
      <c r="A28" s="8">
        <v>27</v>
      </c>
      <c r="B28" s="8" t="str">
        <f t="shared" ca="1" si="0"/>
        <v/>
      </c>
      <c r="C28" s="21" t="str">
        <f t="shared" ca="1" si="1"/>
        <v/>
      </c>
    </row>
    <row r="29" spans="1:3" x14ac:dyDescent="0.25">
      <c r="A29" s="8">
        <v>28</v>
      </c>
      <c r="B29" s="8" t="str">
        <f t="shared" ca="1" si="0"/>
        <v/>
      </c>
      <c r="C29" s="21" t="str">
        <f t="shared" ca="1" si="1"/>
        <v/>
      </c>
    </row>
    <row r="30" spans="1:3" x14ac:dyDescent="0.25">
      <c r="A30" s="8">
        <v>29</v>
      </c>
      <c r="B30" s="8" t="str">
        <f t="shared" ca="1" si="0"/>
        <v/>
      </c>
      <c r="C30" s="21" t="str">
        <f t="shared" ca="1" si="1"/>
        <v/>
      </c>
    </row>
    <row r="31" spans="1:3" x14ac:dyDescent="0.25">
      <c r="A31" s="8">
        <v>30</v>
      </c>
      <c r="B31" s="8" t="str">
        <f t="shared" ca="1" si="0"/>
        <v/>
      </c>
      <c r="C31" s="21" t="str">
        <f t="shared" ca="1" si="1"/>
        <v/>
      </c>
    </row>
    <row r="32" spans="1:3" x14ac:dyDescent="0.25">
      <c r="A32" s="8">
        <v>31</v>
      </c>
      <c r="B32" s="8" t="str">
        <f t="shared" ca="1" si="0"/>
        <v/>
      </c>
      <c r="C32" s="21" t="str">
        <f t="shared" ca="1" si="1"/>
        <v/>
      </c>
    </row>
    <row r="33" spans="1:3" x14ac:dyDescent="0.25">
      <c r="A33" s="8">
        <v>32</v>
      </c>
      <c r="B33" s="8" t="str">
        <f t="shared" ca="1" si="0"/>
        <v/>
      </c>
      <c r="C33" s="21" t="str">
        <f t="shared" ca="1" si="1"/>
        <v/>
      </c>
    </row>
    <row r="34" spans="1:3" x14ac:dyDescent="0.25">
      <c r="A34" s="8">
        <v>33</v>
      </c>
      <c r="B34" s="8" t="str">
        <f t="shared" ca="1" si="0"/>
        <v/>
      </c>
      <c r="C34" s="21" t="str">
        <f t="shared" ca="1" si="1"/>
        <v/>
      </c>
    </row>
    <row r="35" spans="1:3" x14ac:dyDescent="0.25">
      <c r="A35" s="8">
        <v>34</v>
      </c>
      <c r="B35" s="8" t="str">
        <f t="shared" ca="1" si="0"/>
        <v/>
      </c>
      <c r="C35" s="21" t="str">
        <f t="shared" ca="1" si="1"/>
        <v/>
      </c>
    </row>
    <row r="36" spans="1:3" x14ac:dyDescent="0.25">
      <c r="A36" s="8">
        <v>35</v>
      </c>
      <c r="B36" s="8" t="str">
        <f t="shared" ca="1" si="0"/>
        <v/>
      </c>
      <c r="C36" s="21" t="str">
        <f t="shared" ca="1" si="1"/>
        <v/>
      </c>
    </row>
    <row r="37" spans="1:3" x14ac:dyDescent="0.25">
      <c r="A37" s="8">
        <v>36</v>
      </c>
      <c r="B37" s="8" t="str">
        <f t="shared" ca="1" si="0"/>
        <v/>
      </c>
      <c r="C37" s="21" t="str">
        <f t="shared" ca="1" si="1"/>
        <v/>
      </c>
    </row>
    <row r="38" spans="1:3" x14ac:dyDescent="0.25">
      <c r="A38" s="8">
        <v>37</v>
      </c>
      <c r="B38" s="8" t="str">
        <f t="shared" ca="1" si="0"/>
        <v/>
      </c>
      <c r="C38" s="21" t="str">
        <f t="shared" ca="1" si="1"/>
        <v/>
      </c>
    </row>
    <row r="39" spans="1:3" x14ac:dyDescent="0.25">
      <c r="A39" s="8">
        <v>38</v>
      </c>
      <c r="B39" s="8" t="str">
        <f t="shared" ca="1" si="0"/>
        <v/>
      </c>
      <c r="C39" s="21" t="str">
        <f t="shared" ca="1" si="1"/>
        <v/>
      </c>
    </row>
    <row r="40" spans="1:3" x14ac:dyDescent="0.25">
      <c r="A40" s="8">
        <v>39</v>
      </c>
      <c r="B40" s="8" t="str">
        <f t="shared" ca="1" si="0"/>
        <v/>
      </c>
      <c r="C40" s="21" t="str">
        <f t="shared" ca="1" si="1"/>
        <v/>
      </c>
    </row>
    <row r="41" spans="1:3" x14ac:dyDescent="0.25">
      <c r="A41" s="8">
        <v>40</v>
      </c>
      <c r="B41" s="8" t="str">
        <f t="shared" ca="1" si="0"/>
        <v/>
      </c>
      <c r="C41" s="21" t="str">
        <f t="shared" ca="1" si="1"/>
        <v/>
      </c>
    </row>
    <row r="42" spans="1:3" x14ac:dyDescent="0.25">
      <c r="A42" s="8">
        <v>41</v>
      </c>
      <c r="B42" s="8" t="str">
        <f t="shared" ca="1" si="0"/>
        <v/>
      </c>
      <c r="C42" s="21" t="str">
        <f t="shared" ca="1" si="1"/>
        <v/>
      </c>
    </row>
    <row r="43" spans="1:3" x14ac:dyDescent="0.25">
      <c r="A43" s="8">
        <v>42</v>
      </c>
      <c r="B43" s="8" t="str">
        <f t="shared" ca="1" si="0"/>
        <v/>
      </c>
      <c r="C43" s="21" t="str">
        <f t="shared" ca="1" si="1"/>
        <v/>
      </c>
    </row>
    <row r="44" spans="1:3" x14ac:dyDescent="0.25">
      <c r="A44" s="8">
        <v>43</v>
      </c>
      <c r="B44" s="8" t="str">
        <f t="shared" ca="1" si="0"/>
        <v/>
      </c>
      <c r="C44" s="21" t="str">
        <f t="shared" ca="1" si="1"/>
        <v/>
      </c>
    </row>
    <row r="45" spans="1:3" x14ac:dyDescent="0.25">
      <c r="A45" s="8">
        <v>44</v>
      </c>
      <c r="B45" s="8" t="str">
        <f t="shared" ca="1" si="0"/>
        <v/>
      </c>
      <c r="C45" s="21" t="str">
        <f t="shared" ca="1" si="1"/>
        <v/>
      </c>
    </row>
    <row r="46" spans="1:3" x14ac:dyDescent="0.25">
      <c r="A46" s="8">
        <v>45</v>
      </c>
      <c r="B46" s="8" t="str">
        <f t="shared" ca="1" si="0"/>
        <v/>
      </c>
      <c r="C46" s="21" t="str">
        <f t="shared" ca="1" si="1"/>
        <v/>
      </c>
    </row>
    <row r="47" spans="1:3" x14ac:dyDescent="0.25">
      <c r="A47" s="8">
        <v>46</v>
      </c>
      <c r="B47" s="8" t="str">
        <f t="shared" ca="1" si="0"/>
        <v/>
      </c>
      <c r="C47" s="21" t="str">
        <f t="shared" ca="1" si="1"/>
        <v/>
      </c>
    </row>
    <row r="48" spans="1:3" x14ac:dyDescent="0.25">
      <c r="A48" s="8">
        <v>47</v>
      </c>
      <c r="B48" s="8" t="str">
        <f t="shared" ca="1" si="0"/>
        <v/>
      </c>
      <c r="C48" s="21" t="str">
        <f t="shared" ca="1" si="1"/>
        <v/>
      </c>
    </row>
    <row r="49" spans="1:3" x14ac:dyDescent="0.25">
      <c r="A49" s="8">
        <v>48</v>
      </c>
      <c r="B49" s="8" t="str">
        <f t="shared" ca="1" si="0"/>
        <v/>
      </c>
      <c r="C49" s="21" t="str">
        <f t="shared" ca="1" si="1"/>
        <v/>
      </c>
    </row>
    <row r="50" spans="1:3" x14ac:dyDescent="0.25">
      <c r="A50" s="8">
        <v>49</v>
      </c>
      <c r="B50" s="8" t="str">
        <f t="shared" ca="1" si="0"/>
        <v/>
      </c>
      <c r="C50" s="21" t="str">
        <f t="shared" ca="1" si="1"/>
        <v/>
      </c>
    </row>
    <row r="51" spans="1:3" x14ac:dyDescent="0.25">
      <c r="A51" s="8">
        <v>50</v>
      </c>
      <c r="B51" s="8" t="str">
        <f t="shared" ca="1" si="0"/>
        <v/>
      </c>
      <c r="C51" s="21" t="str">
        <f t="shared" ca="1" si="1"/>
        <v/>
      </c>
    </row>
    <row r="52" spans="1:3" x14ac:dyDescent="0.25">
      <c r="A52" s="8">
        <v>51</v>
      </c>
      <c r="B52" s="8" t="str">
        <f t="shared" ca="1" si="0"/>
        <v/>
      </c>
      <c r="C52" s="21" t="str">
        <f t="shared" ca="1" si="1"/>
        <v/>
      </c>
    </row>
    <row r="53" spans="1:3" x14ac:dyDescent="0.25">
      <c r="A53" s="8">
        <v>52</v>
      </c>
      <c r="B53" s="8" t="str">
        <f t="shared" ca="1" si="0"/>
        <v/>
      </c>
      <c r="C53" s="21" t="str">
        <f t="shared" ca="1" si="1"/>
        <v/>
      </c>
    </row>
    <row r="54" spans="1:3" x14ac:dyDescent="0.25">
      <c r="A54" s="8">
        <v>53</v>
      </c>
      <c r="B54" s="8" t="str">
        <f t="shared" ca="1" si="0"/>
        <v/>
      </c>
      <c r="C54" s="21" t="str">
        <f t="shared" ca="1" si="1"/>
        <v/>
      </c>
    </row>
    <row r="55" spans="1:3" x14ac:dyDescent="0.25">
      <c r="A55" s="8">
        <v>54</v>
      </c>
      <c r="B55" s="8" t="str">
        <f t="shared" ca="1" si="0"/>
        <v/>
      </c>
      <c r="C55" s="21" t="str">
        <f t="shared" ca="1" si="1"/>
        <v/>
      </c>
    </row>
    <row r="56" spans="1:3" x14ac:dyDescent="0.25">
      <c r="A56" s="8">
        <v>55</v>
      </c>
      <c r="B56" s="8" t="str">
        <f t="shared" ca="1" si="0"/>
        <v/>
      </c>
      <c r="C56" s="21" t="str">
        <f t="shared" ca="1" si="1"/>
        <v/>
      </c>
    </row>
    <row r="57" spans="1:3" x14ac:dyDescent="0.25">
      <c r="A57" s="8">
        <v>56</v>
      </c>
      <c r="B57" s="8" t="str">
        <f t="shared" ca="1" si="0"/>
        <v/>
      </c>
      <c r="C57" s="21" t="str">
        <f t="shared" ca="1" si="1"/>
        <v/>
      </c>
    </row>
    <row r="58" spans="1:3" x14ac:dyDescent="0.25">
      <c r="A58" s="8">
        <v>57</v>
      </c>
      <c r="B58" s="8" t="str">
        <f t="shared" ca="1" si="0"/>
        <v/>
      </c>
      <c r="C58" s="21" t="str">
        <f t="shared" ca="1" si="1"/>
        <v/>
      </c>
    </row>
    <row r="59" spans="1:3" x14ac:dyDescent="0.25">
      <c r="A59" s="8">
        <v>58</v>
      </c>
      <c r="B59" s="8" t="str">
        <f t="shared" ca="1" si="0"/>
        <v/>
      </c>
      <c r="C59" s="21" t="str">
        <f t="shared" ca="1" si="1"/>
        <v/>
      </c>
    </row>
    <row r="60" spans="1:3" x14ac:dyDescent="0.25">
      <c r="A60" s="8">
        <v>59</v>
      </c>
      <c r="B60" s="8" t="str">
        <f t="shared" ca="1" si="0"/>
        <v/>
      </c>
      <c r="C60" s="21" t="str">
        <f t="shared" ca="1" si="1"/>
        <v/>
      </c>
    </row>
    <row r="61" spans="1:3" x14ac:dyDescent="0.25">
      <c r="A61" s="8">
        <v>60</v>
      </c>
      <c r="B61" s="8" t="str">
        <f t="shared" ca="1" si="0"/>
        <v/>
      </c>
      <c r="C61" s="21" t="str">
        <f t="shared" ca="1" si="1"/>
        <v/>
      </c>
    </row>
    <row r="62" spans="1:3" x14ac:dyDescent="0.25">
      <c r="A62" s="8">
        <v>61</v>
      </c>
      <c r="B62" s="8" t="str">
        <f t="shared" ca="1" si="0"/>
        <v/>
      </c>
      <c r="C62" s="21" t="str">
        <f t="shared" ca="1" si="1"/>
        <v/>
      </c>
    </row>
    <row r="63" spans="1:3" x14ac:dyDescent="0.25">
      <c r="A63" s="8">
        <v>62</v>
      </c>
      <c r="B63" s="8" t="str">
        <f t="shared" ca="1" si="0"/>
        <v/>
      </c>
      <c r="C63" s="21" t="str">
        <f t="shared" ca="1" si="1"/>
        <v/>
      </c>
    </row>
    <row r="64" spans="1:3" x14ac:dyDescent="0.25">
      <c r="A64" s="8">
        <v>63</v>
      </c>
      <c r="B64" s="8" t="str">
        <f t="shared" ca="1" si="0"/>
        <v/>
      </c>
      <c r="C64" s="21" t="str">
        <f t="shared" ca="1" si="1"/>
        <v/>
      </c>
    </row>
    <row r="65" spans="1:3" x14ac:dyDescent="0.25">
      <c r="A65" s="8">
        <v>64</v>
      </c>
      <c r="B65" s="8" t="str">
        <f t="shared" ca="1" si="0"/>
        <v/>
      </c>
      <c r="C65" s="21" t="str">
        <f t="shared" ca="1" si="1"/>
        <v/>
      </c>
    </row>
    <row r="66" spans="1:3" x14ac:dyDescent="0.25">
      <c r="A66" s="8">
        <v>65</v>
      </c>
      <c r="B66" s="8" t="str">
        <f t="shared" ref="B66:B129" ca="1" si="2">IFERROR(INDEX(MasterDwgNumber,A66,3),"")</f>
        <v/>
      </c>
      <c r="C66" s="21" t="str">
        <f t="shared" ref="C66:C129" ca="1" si="3">IFERROR(INDEX(MasterDwgNumber,A66,1),"")</f>
        <v/>
      </c>
    </row>
    <row r="67" spans="1:3" x14ac:dyDescent="0.25">
      <c r="A67" s="8">
        <v>66</v>
      </c>
      <c r="B67" s="8" t="str">
        <f t="shared" ca="1" si="2"/>
        <v/>
      </c>
      <c r="C67" s="21" t="str">
        <f t="shared" ca="1" si="3"/>
        <v/>
      </c>
    </row>
    <row r="68" spans="1:3" x14ac:dyDescent="0.25">
      <c r="A68" s="8">
        <v>67</v>
      </c>
      <c r="B68" s="8" t="str">
        <f t="shared" ca="1" si="2"/>
        <v/>
      </c>
      <c r="C68" s="21" t="str">
        <f t="shared" ca="1" si="3"/>
        <v/>
      </c>
    </row>
    <row r="69" spans="1:3" x14ac:dyDescent="0.25">
      <c r="A69" s="8">
        <v>68</v>
      </c>
      <c r="B69" s="8" t="str">
        <f t="shared" ca="1" si="2"/>
        <v/>
      </c>
      <c r="C69" s="21" t="str">
        <f t="shared" ca="1" si="3"/>
        <v/>
      </c>
    </row>
    <row r="70" spans="1:3" x14ac:dyDescent="0.25">
      <c r="A70" s="8">
        <v>69</v>
      </c>
      <c r="B70" s="8" t="str">
        <f t="shared" ca="1" si="2"/>
        <v/>
      </c>
      <c r="C70" s="21" t="str">
        <f t="shared" ca="1" si="3"/>
        <v/>
      </c>
    </row>
    <row r="71" spans="1:3" x14ac:dyDescent="0.25">
      <c r="A71" s="8">
        <v>70</v>
      </c>
      <c r="B71" s="8" t="str">
        <f t="shared" ca="1" si="2"/>
        <v/>
      </c>
      <c r="C71" s="21" t="str">
        <f t="shared" ca="1" si="3"/>
        <v/>
      </c>
    </row>
    <row r="72" spans="1:3" x14ac:dyDescent="0.25">
      <c r="A72" s="8">
        <v>71</v>
      </c>
      <c r="B72" s="8" t="str">
        <f t="shared" ca="1" si="2"/>
        <v/>
      </c>
      <c r="C72" s="21" t="str">
        <f t="shared" ca="1" si="3"/>
        <v/>
      </c>
    </row>
    <row r="73" spans="1:3" x14ac:dyDescent="0.25">
      <c r="A73" s="8">
        <v>72</v>
      </c>
      <c r="B73" s="8" t="str">
        <f t="shared" ca="1" si="2"/>
        <v/>
      </c>
      <c r="C73" s="21" t="str">
        <f t="shared" ca="1" si="3"/>
        <v/>
      </c>
    </row>
    <row r="74" spans="1:3" x14ac:dyDescent="0.25">
      <c r="A74" s="8">
        <v>73</v>
      </c>
      <c r="B74" s="8" t="str">
        <f t="shared" ca="1" si="2"/>
        <v/>
      </c>
      <c r="C74" s="21" t="str">
        <f t="shared" ca="1" si="3"/>
        <v/>
      </c>
    </row>
    <row r="75" spans="1:3" x14ac:dyDescent="0.25">
      <c r="A75" s="8">
        <v>74</v>
      </c>
      <c r="B75" s="8" t="str">
        <f t="shared" ca="1" si="2"/>
        <v/>
      </c>
      <c r="C75" s="21" t="str">
        <f t="shared" ca="1" si="3"/>
        <v/>
      </c>
    </row>
    <row r="76" spans="1:3" x14ac:dyDescent="0.25">
      <c r="A76" s="8">
        <v>75</v>
      </c>
      <c r="B76" s="8" t="str">
        <f t="shared" ca="1" si="2"/>
        <v/>
      </c>
      <c r="C76" s="21" t="str">
        <f t="shared" ca="1" si="3"/>
        <v/>
      </c>
    </row>
    <row r="77" spans="1:3" x14ac:dyDescent="0.25">
      <c r="A77" s="8">
        <v>76</v>
      </c>
      <c r="B77" s="8" t="str">
        <f t="shared" ca="1" si="2"/>
        <v/>
      </c>
      <c r="C77" s="21" t="str">
        <f t="shared" ca="1" si="3"/>
        <v/>
      </c>
    </row>
    <row r="78" spans="1:3" x14ac:dyDescent="0.25">
      <c r="A78" s="8">
        <v>77</v>
      </c>
      <c r="B78" s="8" t="str">
        <f t="shared" ca="1" si="2"/>
        <v/>
      </c>
      <c r="C78" s="21" t="str">
        <f t="shared" ca="1" si="3"/>
        <v/>
      </c>
    </row>
    <row r="79" spans="1:3" x14ac:dyDescent="0.25">
      <c r="A79" s="8">
        <v>78</v>
      </c>
      <c r="B79" s="8" t="str">
        <f t="shared" ca="1" si="2"/>
        <v/>
      </c>
      <c r="C79" s="21" t="str">
        <f t="shared" ca="1" si="3"/>
        <v/>
      </c>
    </row>
    <row r="80" spans="1:3" x14ac:dyDescent="0.25">
      <c r="A80" s="8">
        <v>79</v>
      </c>
      <c r="B80" s="8" t="str">
        <f t="shared" ca="1" si="2"/>
        <v/>
      </c>
      <c r="C80" s="21" t="str">
        <f t="shared" ca="1" si="3"/>
        <v/>
      </c>
    </row>
    <row r="81" spans="1:3" x14ac:dyDescent="0.25">
      <c r="A81" s="8">
        <v>80</v>
      </c>
      <c r="B81" s="8" t="str">
        <f t="shared" ca="1" si="2"/>
        <v/>
      </c>
      <c r="C81" s="21" t="str">
        <f t="shared" ca="1" si="3"/>
        <v/>
      </c>
    </row>
    <row r="82" spans="1:3" x14ac:dyDescent="0.25">
      <c r="A82" s="8">
        <v>81</v>
      </c>
      <c r="B82" s="8" t="str">
        <f t="shared" ca="1" si="2"/>
        <v/>
      </c>
      <c r="C82" s="21" t="str">
        <f t="shared" ca="1" si="3"/>
        <v/>
      </c>
    </row>
    <row r="83" spans="1:3" x14ac:dyDescent="0.25">
      <c r="A83" s="8">
        <v>82</v>
      </c>
      <c r="B83" s="8" t="str">
        <f t="shared" ca="1" si="2"/>
        <v/>
      </c>
      <c r="C83" s="21" t="str">
        <f t="shared" ca="1" si="3"/>
        <v/>
      </c>
    </row>
    <row r="84" spans="1:3" x14ac:dyDescent="0.25">
      <c r="A84" s="8">
        <v>83</v>
      </c>
      <c r="B84" s="8" t="str">
        <f t="shared" ca="1" si="2"/>
        <v/>
      </c>
      <c r="C84" s="21" t="str">
        <f t="shared" ca="1" si="3"/>
        <v/>
      </c>
    </row>
    <row r="85" spans="1:3" x14ac:dyDescent="0.25">
      <c r="A85" s="8">
        <v>84</v>
      </c>
      <c r="B85" s="8" t="str">
        <f t="shared" ca="1" si="2"/>
        <v/>
      </c>
      <c r="C85" s="21" t="str">
        <f t="shared" ca="1" si="3"/>
        <v/>
      </c>
    </row>
    <row r="86" spans="1:3" x14ac:dyDescent="0.25">
      <c r="A86" s="8">
        <v>85</v>
      </c>
      <c r="B86" s="8" t="str">
        <f t="shared" ca="1" si="2"/>
        <v/>
      </c>
      <c r="C86" s="21" t="str">
        <f t="shared" ca="1" si="3"/>
        <v/>
      </c>
    </row>
    <row r="87" spans="1:3" x14ac:dyDescent="0.25">
      <c r="A87" s="8">
        <v>86</v>
      </c>
      <c r="B87" s="8" t="str">
        <f t="shared" ca="1" si="2"/>
        <v/>
      </c>
      <c r="C87" s="21" t="str">
        <f t="shared" ca="1" si="3"/>
        <v/>
      </c>
    </row>
    <row r="88" spans="1:3" x14ac:dyDescent="0.25">
      <c r="A88" s="8">
        <v>87</v>
      </c>
      <c r="B88" s="8" t="str">
        <f t="shared" ca="1" si="2"/>
        <v/>
      </c>
      <c r="C88" s="21" t="str">
        <f t="shared" ca="1" si="3"/>
        <v/>
      </c>
    </row>
    <row r="89" spans="1:3" x14ac:dyDescent="0.25">
      <c r="A89" s="8">
        <v>88</v>
      </c>
      <c r="B89" s="8" t="str">
        <f t="shared" ca="1" si="2"/>
        <v/>
      </c>
      <c r="C89" s="21" t="str">
        <f t="shared" ca="1" si="3"/>
        <v/>
      </c>
    </row>
    <row r="90" spans="1:3" x14ac:dyDescent="0.25">
      <c r="A90" s="8">
        <v>89</v>
      </c>
      <c r="B90" s="8" t="str">
        <f t="shared" ca="1" si="2"/>
        <v/>
      </c>
      <c r="C90" s="21" t="str">
        <f t="shared" ca="1" si="3"/>
        <v/>
      </c>
    </row>
    <row r="91" spans="1:3" x14ac:dyDescent="0.25">
      <c r="A91" s="8">
        <v>90</v>
      </c>
      <c r="B91" s="8" t="str">
        <f t="shared" ca="1" si="2"/>
        <v/>
      </c>
      <c r="C91" s="21" t="str">
        <f t="shared" ca="1" si="3"/>
        <v/>
      </c>
    </row>
    <row r="92" spans="1:3" x14ac:dyDescent="0.25">
      <c r="A92" s="8">
        <v>91</v>
      </c>
      <c r="B92" s="8" t="str">
        <f t="shared" ca="1" si="2"/>
        <v/>
      </c>
      <c r="C92" s="21" t="str">
        <f t="shared" ca="1" si="3"/>
        <v/>
      </c>
    </row>
    <row r="93" spans="1:3" x14ac:dyDescent="0.25">
      <c r="A93" s="8">
        <v>92</v>
      </c>
      <c r="B93" s="8" t="str">
        <f t="shared" ca="1" si="2"/>
        <v/>
      </c>
      <c r="C93" s="21" t="str">
        <f t="shared" ca="1" si="3"/>
        <v/>
      </c>
    </row>
    <row r="94" spans="1:3" x14ac:dyDescent="0.25">
      <c r="A94" s="8">
        <v>93</v>
      </c>
      <c r="B94" s="8" t="str">
        <f t="shared" ca="1" si="2"/>
        <v/>
      </c>
      <c r="C94" s="21" t="str">
        <f t="shared" ca="1" si="3"/>
        <v/>
      </c>
    </row>
    <row r="95" spans="1:3" x14ac:dyDescent="0.25">
      <c r="A95" s="8">
        <v>94</v>
      </c>
      <c r="B95" s="8" t="str">
        <f t="shared" ca="1" si="2"/>
        <v/>
      </c>
      <c r="C95" s="21" t="str">
        <f t="shared" ca="1" si="3"/>
        <v/>
      </c>
    </row>
    <row r="96" spans="1:3" x14ac:dyDescent="0.25">
      <c r="A96" s="8">
        <v>95</v>
      </c>
      <c r="B96" s="8" t="str">
        <f t="shared" ca="1" si="2"/>
        <v/>
      </c>
      <c r="C96" s="21" t="str">
        <f t="shared" ca="1" si="3"/>
        <v/>
      </c>
    </row>
    <row r="97" spans="1:3" x14ac:dyDescent="0.25">
      <c r="A97" s="8">
        <v>96</v>
      </c>
      <c r="B97" s="8" t="str">
        <f t="shared" ca="1" si="2"/>
        <v/>
      </c>
      <c r="C97" s="21" t="str">
        <f t="shared" ca="1" si="3"/>
        <v/>
      </c>
    </row>
    <row r="98" spans="1:3" x14ac:dyDescent="0.25">
      <c r="A98" s="8">
        <v>97</v>
      </c>
      <c r="B98" s="8" t="str">
        <f t="shared" ca="1" si="2"/>
        <v/>
      </c>
      <c r="C98" s="21" t="str">
        <f t="shared" ca="1" si="3"/>
        <v/>
      </c>
    </row>
    <row r="99" spans="1:3" x14ac:dyDescent="0.25">
      <c r="A99" s="8">
        <v>98</v>
      </c>
      <c r="B99" s="8" t="str">
        <f t="shared" ca="1" si="2"/>
        <v/>
      </c>
      <c r="C99" s="21" t="str">
        <f t="shared" ca="1" si="3"/>
        <v/>
      </c>
    </row>
    <row r="100" spans="1:3" x14ac:dyDescent="0.25">
      <c r="A100" s="8">
        <v>99</v>
      </c>
      <c r="B100" s="8" t="str">
        <f t="shared" ca="1" si="2"/>
        <v/>
      </c>
      <c r="C100" s="21" t="str">
        <f t="shared" ca="1" si="3"/>
        <v/>
      </c>
    </row>
    <row r="101" spans="1:3" x14ac:dyDescent="0.25">
      <c r="A101" s="8">
        <v>100</v>
      </c>
      <c r="B101" s="8" t="str">
        <f t="shared" ca="1" si="2"/>
        <v/>
      </c>
      <c r="C101" s="21" t="str">
        <f t="shared" ca="1" si="3"/>
        <v/>
      </c>
    </row>
    <row r="102" spans="1:3" x14ac:dyDescent="0.25">
      <c r="A102" s="8">
        <v>101</v>
      </c>
      <c r="B102" s="8" t="str">
        <f t="shared" ca="1" si="2"/>
        <v/>
      </c>
      <c r="C102" s="21" t="str">
        <f t="shared" ca="1" si="3"/>
        <v/>
      </c>
    </row>
    <row r="103" spans="1:3" x14ac:dyDescent="0.25">
      <c r="A103" s="8">
        <v>102</v>
      </c>
      <c r="B103" s="8" t="str">
        <f t="shared" ca="1" si="2"/>
        <v/>
      </c>
      <c r="C103" s="21" t="str">
        <f t="shared" ca="1" si="3"/>
        <v/>
      </c>
    </row>
    <row r="104" spans="1:3" x14ac:dyDescent="0.25">
      <c r="A104" s="8">
        <v>103</v>
      </c>
      <c r="B104" s="8" t="str">
        <f t="shared" ca="1" si="2"/>
        <v/>
      </c>
      <c r="C104" s="21" t="str">
        <f t="shared" ca="1" si="3"/>
        <v/>
      </c>
    </row>
    <row r="105" spans="1:3" x14ac:dyDescent="0.25">
      <c r="A105" s="8">
        <v>104</v>
      </c>
      <c r="B105" s="8" t="str">
        <f t="shared" ca="1" si="2"/>
        <v/>
      </c>
      <c r="C105" s="21" t="str">
        <f t="shared" ca="1" si="3"/>
        <v/>
      </c>
    </row>
    <row r="106" spans="1:3" x14ac:dyDescent="0.25">
      <c r="A106" s="8">
        <v>105</v>
      </c>
      <c r="B106" s="8" t="str">
        <f t="shared" ca="1" si="2"/>
        <v/>
      </c>
      <c r="C106" s="21" t="str">
        <f t="shared" ca="1" si="3"/>
        <v/>
      </c>
    </row>
    <row r="107" spans="1:3" x14ac:dyDescent="0.25">
      <c r="A107" s="8">
        <v>106</v>
      </c>
      <c r="B107" s="8" t="str">
        <f t="shared" ca="1" si="2"/>
        <v/>
      </c>
      <c r="C107" s="21" t="str">
        <f t="shared" ca="1" si="3"/>
        <v/>
      </c>
    </row>
    <row r="108" spans="1:3" x14ac:dyDescent="0.25">
      <c r="A108" s="8">
        <v>107</v>
      </c>
      <c r="B108" s="8" t="str">
        <f t="shared" ca="1" si="2"/>
        <v/>
      </c>
      <c r="C108" s="21" t="str">
        <f t="shared" ca="1" si="3"/>
        <v/>
      </c>
    </row>
    <row r="109" spans="1:3" x14ac:dyDescent="0.25">
      <c r="A109" s="8">
        <v>108</v>
      </c>
      <c r="B109" s="8" t="str">
        <f t="shared" ca="1" si="2"/>
        <v/>
      </c>
      <c r="C109" s="21" t="str">
        <f t="shared" ca="1" si="3"/>
        <v/>
      </c>
    </row>
    <row r="110" spans="1:3" x14ac:dyDescent="0.25">
      <c r="A110" s="8">
        <v>109</v>
      </c>
      <c r="B110" s="8" t="str">
        <f t="shared" ca="1" si="2"/>
        <v/>
      </c>
      <c r="C110" s="21" t="str">
        <f t="shared" ca="1" si="3"/>
        <v/>
      </c>
    </row>
    <row r="111" spans="1:3" x14ac:dyDescent="0.25">
      <c r="A111" s="8">
        <v>110</v>
      </c>
      <c r="B111" s="8" t="str">
        <f t="shared" ca="1" si="2"/>
        <v/>
      </c>
      <c r="C111" s="21" t="str">
        <f t="shared" ca="1" si="3"/>
        <v/>
      </c>
    </row>
    <row r="112" spans="1:3" x14ac:dyDescent="0.25">
      <c r="A112" s="8">
        <v>111</v>
      </c>
      <c r="B112" s="8" t="str">
        <f t="shared" ca="1" si="2"/>
        <v/>
      </c>
      <c r="C112" s="21" t="str">
        <f t="shared" ca="1" si="3"/>
        <v/>
      </c>
    </row>
    <row r="113" spans="1:3" x14ac:dyDescent="0.25">
      <c r="A113" s="8">
        <v>112</v>
      </c>
      <c r="B113" s="8" t="str">
        <f t="shared" ca="1" si="2"/>
        <v/>
      </c>
      <c r="C113" s="21" t="str">
        <f t="shared" ca="1" si="3"/>
        <v/>
      </c>
    </row>
    <row r="114" spans="1:3" x14ac:dyDescent="0.25">
      <c r="A114" s="8">
        <v>113</v>
      </c>
      <c r="B114" s="8" t="str">
        <f t="shared" ca="1" si="2"/>
        <v/>
      </c>
      <c r="C114" s="21" t="str">
        <f t="shared" ca="1" si="3"/>
        <v/>
      </c>
    </row>
    <row r="115" spans="1:3" x14ac:dyDescent="0.25">
      <c r="A115" s="8">
        <v>114</v>
      </c>
      <c r="B115" s="8" t="str">
        <f t="shared" ca="1" si="2"/>
        <v/>
      </c>
      <c r="C115" s="21" t="str">
        <f t="shared" ca="1" si="3"/>
        <v/>
      </c>
    </row>
    <row r="116" spans="1:3" x14ac:dyDescent="0.25">
      <c r="A116" s="8">
        <v>115</v>
      </c>
      <c r="B116" s="8" t="str">
        <f t="shared" ca="1" si="2"/>
        <v/>
      </c>
      <c r="C116" s="21" t="str">
        <f t="shared" ca="1" si="3"/>
        <v/>
      </c>
    </row>
    <row r="117" spans="1:3" x14ac:dyDescent="0.25">
      <c r="A117" s="8">
        <v>116</v>
      </c>
      <c r="B117" s="8" t="str">
        <f t="shared" ca="1" si="2"/>
        <v/>
      </c>
      <c r="C117" s="21" t="str">
        <f t="shared" ca="1" si="3"/>
        <v/>
      </c>
    </row>
    <row r="118" spans="1:3" x14ac:dyDescent="0.25">
      <c r="A118" s="8">
        <v>117</v>
      </c>
      <c r="B118" s="8" t="str">
        <f t="shared" ca="1" si="2"/>
        <v/>
      </c>
      <c r="C118" s="21" t="str">
        <f t="shared" ca="1" si="3"/>
        <v/>
      </c>
    </row>
    <row r="119" spans="1:3" x14ac:dyDescent="0.25">
      <c r="A119" s="8">
        <v>118</v>
      </c>
      <c r="B119" s="8" t="str">
        <f t="shared" ca="1" si="2"/>
        <v/>
      </c>
      <c r="C119" s="21" t="str">
        <f t="shared" ca="1" si="3"/>
        <v/>
      </c>
    </row>
    <row r="120" spans="1:3" x14ac:dyDescent="0.25">
      <c r="A120" s="8">
        <v>119</v>
      </c>
      <c r="B120" s="8" t="str">
        <f t="shared" ca="1" si="2"/>
        <v/>
      </c>
      <c r="C120" s="21" t="str">
        <f t="shared" ca="1" si="3"/>
        <v/>
      </c>
    </row>
    <row r="121" spans="1:3" x14ac:dyDescent="0.25">
      <c r="A121" s="8">
        <v>120</v>
      </c>
      <c r="B121" s="8" t="str">
        <f t="shared" ca="1" si="2"/>
        <v/>
      </c>
      <c r="C121" s="21" t="str">
        <f t="shared" ca="1" si="3"/>
        <v/>
      </c>
    </row>
    <row r="122" spans="1:3" x14ac:dyDescent="0.25">
      <c r="A122" s="8">
        <v>121</v>
      </c>
      <c r="B122" s="8" t="str">
        <f t="shared" ca="1" si="2"/>
        <v/>
      </c>
      <c r="C122" s="21" t="str">
        <f t="shared" ca="1" si="3"/>
        <v/>
      </c>
    </row>
    <row r="123" spans="1:3" x14ac:dyDescent="0.25">
      <c r="A123" s="8">
        <v>122</v>
      </c>
      <c r="B123" s="8" t="str">
        <f t="shared" ca="1" si="2"/>
        <v/>
      </c>
      <c r="C123" s="21" t="str">
        <f t="shared" ca="1" si="3"/>
        <v/>
      </c>
    </row>
    <row r="124" spans="1:3" x14ac:dyDescent="0.25">
      <c r="A124" s="8">
        <v>123</v>
      </c>
      <c r="B124" s="8" t="str">
        <f t="shared" ca="1" si="2"/>
        <v/>
      </c>
      <c r="C124" s="21" t="str">
        <f t="shared" ca="1" si="3"/>
        <v/>
      </c>
    </row>
    <row r="125" spans="1:3" x14ac:dyDescent="0.25">
      <c r="A125" s="8">
        <v>124</v>
      </c>
      <c r="B125" s="8" t="str">
        <f t="shared" ca="1" si="2"/>
        <v/>
      </c>
      <c r="C125" s="21" t="str">
        <f t="shared" ca="1" si="3"/>
        <v/>
      </c>
    </row>
    <row r="126" spans="1:3" x14ac:dyDescent="0.25">
      <c r="A126" s="8">
        <v>125</v>
      </c>
      <c r="B126" s="8" t="str">
        <f t="shared" ca="1" si="2"/>
        <v/>
      </c>
      <c r="C126" s="21" t="str">
        <f t="shared" ca="1" si="3"/>
        <v/>
      </c>
    </row>
    <row r="127" spans="1:3" x14ac:dyDescent="0.25">
      <c r="A127" s="8">
        <v>126</v>
      </c>
      <c r="B127" s="8" t="str">
        <f t="shared" ca="1" si="2"/>
        <v/>
      </c>
      <c r="C127" s="21" t="str">
        <f t="shared" ca="1" si="3"/>
        <v/>
      </c>
    </row>
    <row r="128" spans="1:3" x14ac:dyDescent="0.25">
      <c r="A128" s="8">
        <v>127</v>
      </c>
      <c r="B128" s="8" t="str">
        <f t="shared" ca="1" si="2"/>
        <v/>
      </c>
      <c r="C128" s="21" t="str">
        <f t="shared" ca="1" si="3"/>
        <v/>
      </c>
    </row>
    <row r="129" spans="1:3" x14ac:dyDescent="0.25">
      <c r="A129" s="8">
        <v>128</v>
      </c>
      <c r="B129" s="8" t="str">
        <f t="shared" ca="1" si="2"/>
        <v/>
      </c>
      <c r="C129" s="21" t="str">
        <f t="shared" ca="1" si="3"/>
        <v/>
      </c>
    </row>
    <row r="130" spans="1:3" x14ac:dyDescent="0.25">
      <c r="A130" s="8">
        <v>129</v>
      </c>
      <c r="B130" s="8" t="str">
        <f t="shared" ref="B130:B193" ca="1" si="4">IFERROR(INDEX(MasterDwgNumber,A130,3),"")</f>
        <v/>
      </c>
      <c r="C130" s="21" t="str">
        <f t="shared" ref="C130:C193" ca="1" si="5">IFERROR(INDEX(MasterDwgNumber,A130,1),"")</f>
        <v/>
      </c>
    </row>
    <row r="131" spans="1:3" x14ac:dyDescent="0.25">
      <c r="A131" s="8">
        <v>130</v>
      </c>
      <c r="B131" s="8" t="str">
        <f t="shared" ca="1" si="4"/>
        <v/>
      </c>
      <c r="C131" s="21" t="str">
        <f t="shared" ca="1" si="5"/>
        <v/>
      </c>
    </row>
    <row r="132" spans="1:3" x14ac:dyDescent="0.25">
      <c r="A132" s="8">
        <v>131</v>
      </c>
      <c r="B132" s="8" t="str">
        <f t="shared" ca="1" si="4"/>
        <v/>
      </c>
      <c r="C132" s="21" t="str">
        <f t="shared" ca="1" si="5"/>
        <v/>
      </c>
    </row>
    <row r="133" spans="1:3" x14ac:dyDescent="0.25">
      <c r="A133" s="8">
        <v>132</v>
      </c>
      <c r="B133" s="8" t="str">
        <f t="shared" ca="1" si="4"/>
        <v/>
      </c>
      <c r="C133" s="21" t="str">
        <f t="shared" ca="1" si="5"/>
        <v/>
      </c>
    </row>
    <row r="134" spans="1:3" x14ac:dyDescent="0.25">
      <c r="A134" s="8">
        <v>133</v>
      </c>
      <c r="B134" s="8" t="str">
        <f t="shared" ca="1" si="4"/>
        <v/>
      </c>
      <c r="C134" s="21" t="str">
        <f t="shared" ca="1" si="5"/>
        <v/>
      </c>
    </row>
    <row r="135" spans="1:3" x14ac:dyDescent="0.25">
      <c r="A135" s="8">
        <v>134</v>
      </c>
      <c r="B135" s="8" t="str">
        <f t="shared" ca="1" si="4"/>
        <v/>
      </c>
      <c r="C135" s="21" t="str">
        <f t="shared" ca="1" si="5"/>
        <v/>
      </c>
    </row>
    <row r="136" spans="1:3" x14ac:dyDescent="0.25">
      <c r="A136" s="8">
        <v>135</v>
      </c>
      <c r="B136" s="8" t="str">
        <f t="shared" ca="1" si="4"/>
        <v/>
      </c>
      <c r="C136" s="21" t="str">
        <f t="shared" ca="1" si="5"/>
        <v/>
      </c>
    </row>
    <row r="137" spans="1:3" x14ac:dyDescent="0.25">
      <c r="A137" s="8">
        <v>136</v>
      </c>
      <c r="B137" s="8" t="str">
        <f t="shared" ca="1" si="4"/>
        <v/>
      </c>
      <c r="C137" s="21" t="str">
        <f t="shared" ca="1" si="5"/>
        <v/>
      </c>
    </row>
    <row r="138" spans="1:3" x14ac:dyDescent="0.25">
      <c r="A138" s="8">
        <v>137</v>
      </c>
      <c r="B138" s="8" t="str">
        <f t="shared" ca="1" si="4"/>
        <v/>
      </c>
      <c r="C138" s="21" t="str">
        <f t="shared" ca="1" si="5"/>
        <v/>
      </c>
    </row>
    <row r="139" spans="1:3" x14ac:dyDescent="0.25">
      <c r="A139" s="8">
        <v>138</v>
      </c>
      <c r="B139" s="8" t="str">
        <f t="shared" ca="1" si="4"/>
        <v/>
      </c>
      <c r="C139" s="21" t="str">
        <f t="shared" ca="1" si="5"/>
        <v/>
      </c>
    </row>
    <row r="140" spans="1:3" x14ac:dyDescent="0.25">
      <c r="A140" s="8">
        <v>139</v>
      </c>
      <c r="B140" s="8" t="str">
        <f t="shared" ca="1" si="4"/>
        <v/>
      </c>
      <c r="C140" s="21" t="str">
        <f t="shared" ca="1" si="5"/>
        <v/>
      </c>
    </row>
    <row r="141" spans="1:3" x14ac:dyDescent="0.25">
      <c r="A141" s="8">
        <v>140</v>
      </c>
      <c r="B141" s="8" t="str">
        <f t="shared" ca="1" si="4"/>
        <v/>
      </c>
      <c r="C141" s="21" t="str">
        <f t="shared" ca="1" si="5"/>
        <v/>
      </c>
    </row>
    <row r="142" spans="1:3" x14ac:dyDescent="0.25">
      <c r="A142" s="8">
        <v>141</v>
      </c>
      <c r="B142" s="8" t="str">
        <f t="shared" ca="1" si="4"/>
        <v/>
      </c>
      <c r="C142" s="21" t="str">
        <f t="shared" ca="1" si="5"/>
        <v/>
      </c>
    </row>
    <row r="143" spans="1:3" x14ac:dyDescent="0.25">
      <c r="A143" s="8">
        <v>142</v>
      </c>
      <c r="B143" s="8" t="str">
        <f t="shared" ca="1" si="4"/>
        <v/>
      </c>
      <c r="C143" s="21" t="str">
        <f t="shared" ca="1" si="5"/>
        <v/>
      </c>
    </row>
    <row r="144" spans="1:3" x14ac:dyDescent="0.25">
      <c r="A144" s="8">
        <v>143</v>
      </c>
      <c r="B144" s="8" t="str">
        <f t="shared" ca="1" si="4"/>
        <v/>
      </c>
      <c r="C144" s="21" t="str">
        <f t="shared" ca="1" si="5"/>
        <v/>
      </c>
    </row>
    <row r="145" spans="1:3" x14ac:dyDescent="0.25">
      <c r="A145" s="8">
        <v>144</v>
      </c>
      <c r="B145" s="8" t="str">
        <f t="shared" ca="1" si="4"/>
        <v/>
      </c>
      <c r="C145" s="21" t="str">
        <f t="shared" ca="1" si="5"/>
        <v/>
      </c>
    </row>
    <row r="146" spans="1:3" x14ac:dyDescent="0.25">
      <c r="A146" s="8">
        <v>145</v>
      </c>
      <c r="B146" s="8" t="str">
        <f t="shared" ca="1" si="4"/>
        <v/>
      </c>
      <c r="C146" s="21" t="str">
        <f t="shared" ca="1" si="5"/>
        <v/>
      </c>
    </row>
    <row r="147" spans="1:3" x14ac:dyDescent="0.25">
      <c r="A147" s="8">
        <v>146</v>
      </c>
      <c r="B147" s="8" t="str">
        <f t="shared" ca="1" si="4"/>
        <v/>
      </c>
      <c r="C147" s="21" t="str">
        <f t="shared" ca="1" si="5"/>
        <v/>
      </c>
    </row>
    <row r="148" spans="1:3" x14ac:dyDescent="0.25">
      <c r="A148" s="8">
        <v>147</v>
      </c>
      <c r="B148" s="8" t="str">
        <f t="shared" ca="1" si="4"/>
        <v/>
      </c>
      <c r="C148" s="21" t="str">
        <f t="shared" ca="1" si="5"/>
        <v/>
      </c>
    </row>
    <row r="149" spans="1:3" x14ac:dyDescent="0.25">
      <c r="A149" s="8">
        <v>148</v>
      </c>
      <c r="B149" s="8" t="str">
        <f t="shared" ca="1" si="4"/>
        <v/>
      </c>
      <c r="C149" s="21" t="str">
        <f t="shared" ca="1" si="5"/>
        <v/>
      </c>
    </row>
    <row r="150" spans="1:3" x14ac:dyDescent="0.25">
      <c r="A150" s="8">
        <v>149</v>
      </c>
      <c r="B150" s="8" t="str">
        <f t="shared" ca="1" si="4"/>
        <v/>
      </c>
      <c r="C150" s="21" t="str">
        <f t="shared" ca="1" si="5"/>
        <v/>
      </c>
    </row>
    <row r="151" spans="1:3" x14ac:dyDescent="0.25">
      <c r="A151" s="8">
        <v>150</v>
      </c>
      <c r="B151" s="8" t="str">
        <f t="shared" ca="1" si="4"/>
        <v/>
      </c>
      <c r="C151" s="21" t="str">
        <f t="shared" ca="1" si="5"/>
        <v/>
      </c>
    </row>
    <row r="152" spans="1:3" x14ac:dyDescent="0.25">
      <c r="A152" s="8">
        <v>151</v>
      </c>
      <c r="B152" s="8" t="str">
        <f t="shared" ca="1" si="4"/>
        <v/>
      </c>
      <c r="C152" s="21" t="str">
        <f t="shared" ca="1" si="5"/>
        <v/>
      </c>
    </row>
    <row r="153" spans="1:3" x14ac:dyDescent="0.25">
      <c r="A153" s="8">
        <v>152</v>
      </c>
      <c r="B153" s="8" t="str">
        <f t="shared" ca="1" si="4"/>
        <v/>
      </c>
      <c r="C153" s="21" t="str">
        <f t="shared" ca="1" si="5"/>
        <v/>
      </c>
    </row>
    <row r="154" spans="1:3" x14ac:dyDescent="0.25">
      <c r="A154" s="8">
        <v>153</v>
      </c>
      <c r="B154" s="8" t="str">
        <f t="shared" ca="1" si="4"/>
        <v/>
      </c>
      <c r="C154" s="21" t="str">
        <f t="shared" ca="1" si="5"/>
        <v/>
      </c>
    </row>
    <row r="155" spans="1:3" x14ac:dyDescent="0.25">
      <c r="A155" s="8">
        <v>154</v>
      </c>
      <c r="B155" s="8" t="str">
        <f t="shared" ca="1" si="4"/>
        <v/>
      </c>
      <c r="C155" s="21" t="str">
        <f t="shared" ca="1" si="5"/>
        <v/>
      </c>
    </row>
    <row r="156" spans="1:3" x14ac:dyDescent="0.25">
      <c r="A156" s="8">
        <v>155</v>
      </c>
      <c r="B156" s="8" t="str">
        <f t="shared" ca="1" si="4"/>
        <v/>
      </c>
      <c r="C156" s="21" t="str">
        <f t="shared" ca="1" si="5"/>
        <v/>
      </c>
    </row>
    <row r="157" spans="1:3" x14ac:dyDescent="0.25">
      <c r="A157" s="8">
        <v>156</v>
      </c>
      <c r="B157" s="8" t="str">
        <f t="shared" ca="1" si="4"/>
        <v/>
      </c>
      <c r="C157" s="21" t="str">
        <f t="shared" ca="1" si="5"/>
        <v/>
      </c>
    </row>
    <row r="158" spans="1:3" x14ac:dyDescent="0.25">
      <c r="A158" s="8">
        <v>157</v>
      </c>
      <c r="B158" s="8" t="str">
        <f t="shared" ca="1" si="4"/>
        <v/>
      </c>
      <c r="C158" s="21" t="str">
        <f t="shared" ca="1" si="5"/>
        <v/>
      </c>
    </row>
    <row r="159" spans="1:3" x14ac:dyDescent="0.25">
      <c r="A159" s="8">
        <v>158</v>
      </c>
      <c r="B159" s="8" t="str">
        <f t="shared" ca="1" si="4"/>
        <v/>
      </c>
      <c r="C159" s="21" t="str">
        <f t="shared" ca="1" si="5"/>
        <v/>
      </c>
    </row>
    <row r="160" spans="1:3" x14ac:dyDescent="0.25">
      <c r="A160" s="8">
        <v>159</v>
      </c>
      <c r="B160" s="8" t="str">
        <f t="shared" ca="1" si="4"/>
        <v/>
      </c>
      <c r="C160" s="21" t="str">
        <f t="shared" ca="1" si="5"/>
        <v/>
      </c>
    </row>
    <row r="161" spans="1:3" x14ac:dyDescent="0.25">
      <c r="A161" s="8">
        <v>160</v>
      </c>
      <c r="B161" s="8" t="str">
        <f t="shared" ca="1" si="4"/>
        <v/>
      </c>
      <c r="C161" s="21" t="str">
        <f t="shared" ca="1" si="5"/>
        <v/>
      </c>
    </row>
    <row r="162" spans="1:3" x14ac:dyDescent="0.25">
      <c r="A162" s="8">
        <v>161</v>
      </c>
      <c r="B162" s="8" t="str">
        <f t="shared" ca="1" si="4"/>
        <v/>
      </c>
      <c r="C162" s="21" t="str">
        <f t="shared" ca="1" si="5"/>
        <v/>
      </c>
    </row>
    <row r="163" spans="1:3" x14ac:dyDescent="0.25">
      <c r="A163" s="8">
        <v>162</v>
      </c>
      <c r="B163" s="8" t="str">
        <f t="shared" ca="1" si="4"/>
        <v/>
      </c>
      <c r="C163" s="21" t="str">
        <f t="shared" ca="1" si="5"/>
        <v/>
      </c>
    </row>
    <row r="164" spans="1:3" x14ac:dyDescent="0.25">
      <c r="A164" s="8">
        <v>163</v>
      </c>
      <c r="B164" s="8" t="str">
        <f t="shared" ca="1" si="4"/>
        <v/>
      </c>
      <c r="C164" s="21" t="str">
        <f t="shared" ca="1" si="5"/>
        <v/>
      </c>
    </row>
    <row r="165" spans="1:3" x14ac:dyDescent="0.25">
      <c r="A165" s="8">
        <v>164</v>
      </c>
      <c r="B165" s="8" t="str">
        <f t="shared" ca="1" si="4"/>
        <v/>
      </c>
      <c r="C165" s="21" t="str">
        <f t="shared" ca="1" si="5"/>
        <v/>
      </c>
    </row>
    <row r="166" spans="1:3" x14ac:dyDescent="0.25">
      <c r="A166" s="8">
        <v>165</v>
      </c>
      <c r="B166" s="8" t="str">
        <f t="shared" ca="1" si="4"/>
        <v/>
      </c>
      <c r="C166" s="21" t="str">
        <f t="shared" ca="1" si="5"/>
        <v/>
      </c>
    </row>
    <row r="167" spans="1:3" x14ac:dyDescent="0.25">
      <c r="A167" s="8">
        <v>166</v>
      </c>
      <c r="B167" s="8" t="str">
        <f t="shared" ca="1" si="4"/>
        <v/>
      </c>
      <c r="C167" s="21" t="str">
        <f t="shared" ca="1" si="5"/>
        <v/>
      </c>
    </row>
    <row r="168" spans="1:3" x14ac:dyDescent="0.25">
      <c r="A168" s="8">
        <v>167</v>
      </c>
      <c r="B168" s="8" t="str">
        <f t="shared" ca="1" si="4"/>
        <v/>
      </c>
      <c r="C168" s="21" t="str">
        <f t="shared" ca="1" si="5"/>
        <v/>
      </c>
    </row>
    <row r="169" spans="1:3" x14ac:dyDescent="0.25">
      <c r="A169" s="8">
        <v>168</v>
      </c>
      <c r="B169" s="8" t="str">
        <f t="shared" ca="1" si="4"/>
        <v/>
      </c>
      <c r="C169" s="21" t="str">
        <f t="shared" ca="1" si="5"/>
        <v/>
      </c>
    </row>
    <row r="170" spans="1:3" x14ac:dyDescent="0.25">
      <c r="A170" s="8">
        <v>169</v>
      </c>
      <c r="B170" s="8" t="str">
        <f t="shared" ca="1" si="4"/>
        <v/>
      </c>
      <c r="C170" s="21" t="str">
        <f t="shared" ca="1" si="5"/>
        <v/>
      </c>
    </row>
    <row r="171" spans="1:3" x14ac:dyDescent="0.25">
      <c r="A171" s="8">
        <v>170</v>
      </c>
      <c r="B171" s="8" t="str">
        <f t="shared" ca="1" si="4"/>
        <v/>
      </c>
      <c r="C171" s="21" t="str">
        <f t="shared" ca="1" si="5"/>
        <v/>
      </c>
    </row>
    <row r="172" spans="1:3" x14ac:dyDescent="0.25">
      <c r="A172" s="8">
        <v>171</v>
      </c>
      <c r="B172" s="8" t="str">
        <f t="shared" ca="1" si="4"/>
        <v/>
      </c>
      <c r="C172" s="21" t="str">
        <f t="shared" ca="1" si="5"/>
        <v/>
      </c>
    </row>
    <row r="173" spans="1:3" x14ac:dyDescent="0.25">
      <c r="A173" s="8">
        <v>172</v>
      </c>
      <c r="B173" s="8" t="str">
        <f t="shared" ca="1" si="4"/>
        <v/>
      </c>
      <c r="C173" s="21" t="str">
        <f t="shared" ca="1" si="5"/>
        <v/>
      </c>
    </row>
    <row r="174" spans="1:3" x14ac:dyDescent="0.25">
      <c r="A174" s="8">
        <v>173</v>
      </c>
      <c r="B174" s="8" t="str">
        <f t="shared" ca="1" si="4"/>
        <v/>
      </c>
      <c r="C174" s="21" t="str">
        <f t="shared" ca="1" si="5"/>
        <v/>
      </c>
    </row>
    <row r="175" spans="1:3" x14ac:dyDescent="0.25">
      <c r="A175" s="8">
        <v>174</v>
      </c>
      <c r="B175" s="8" t="str">
        <f t="shared" ca="1" si="4"/>
        <v/>
      </c>
      <c r="C175" s="21" t="str">
        <f t="shared" ca="1" si="5"/>
        <v/>
      </c>
    </row>
    <row r="176" spans="1:3" x14ac:dyDescent="0.25">
      <c r="A176" s="8">
        <v>175</v>
      </c>
      <c r="B176" s="8" t="str">
        <f t="shared" ca="1" si="4"/>
        <v/>
      </c>
      <c r="C176" s="21" t="str">
        <f t="shared" ca="1" si="5"/>
        <v/>
      </c>
    </row>
    <row r="177" spans="1:3" x14ac:dyDescent="0.25">
      <c r="A177" s="8">
        <v>176</v>
      </c>
      <c r="B177" s="8" t="str">
        <f t="shared" ca="1" si="4"/>
        <v/>
      </c>
      <c r="C177" s="21" t="str">
        <f t="shared" ca="1" si="5"/>
        <v/>
      </c>
    </row>
    <row r="178" spans="1:3" x14ac:dyDescent="0.25">
      <c r="A178" s="8">
        <v>177</v>
      </c>
      <c r="B178" s="8" t="str">
        <f t="shared" ca="1" si="4"/>
        <v/>
      </c>
      <c r="C178" s="21" t="str">
        <f t="shared" ca="1" si="5"/>
        <v/>
      </c>
    </row>
    <row r="179" spans="1:3" x14ac:dyDescent="0.25">
      <c r="A179" s="8">
        <v>178</v>
      </c>
      <c r="B179" s="8" t="str">
        <f t="shared" ca="1" si="4"/>
        <v/>
      </c>
      <c r="C179" s="21" t="str">
        <f t="shared" ca="1" si="5"/>
        <v/>
      </c>
    </row>
    <row r="180" spans="1:3" x14ac:dyDescent="0.25">
      <c r="A180" s="8">
        <v>179</v>
      </c>
      <c r="B180" s="8" t="str">
        <f t="shared" ca="1" si="4"/>
        <v/>
      </c>
      <c r="C180" s="21" t="str">
        <f t="shared" ca="1" si="5"/>
        <v/>
      </c>
    </row>
    <row r="181" spans="1:3" x14ac:dyDescent="0.25">
      <c r="A181" s="8">
        <v>180</v>
      </c>
      <c r="B181" s="8" t="str">
        <f t="shared" ca="1" si="4"/>
        <v/>
      </c>
      <c r="C181" s="21" t="str">
        <f t="shared" ca="1" si="5"/>
        <v/>
      </c>
    </row>
    <row r="182" spans="1:3" x14ac:dyDescent="0.25">
      <c r="A182" s="8">
        <v>181</v>
      </c>
      <c r="B182" s="8" t="str">
        <f t="shared" ca="1" si="4"/>
        <v/>
      </c>
      <c r="C182" s="21" t="str">
        <f t="shared" ca="1" si="5"/>
        <v/>
      </c>
    </row>
    <row r="183" spans="1:3" x14ac:dyDescent="0.25">
      <c r="A183" s="8">
        <v>182</v>
      </c>
      <c r="B183" s="8" t="str">
        <f t="shared" ca="1" si="4"/>
        <v/>
      </c>
      <c r="C183" s="21" t="str">
        <f t="shared" ca="1" si="5"/>
        <v/>
      </c>
    </row>
    <row r="184" spans="1:3" x14ac:dyDescent="0.25">
      <c r="A184" s="8">
        <v>183</v>
      </c>
      <c r="B184" s="8" t="str">
        <f t="shared" ca="1" si="4"/>
        <v/>
      </c>
      <c r="C184" s="21" t="str">
        <f t="shared" ca="1" si="5"/>
        <v/>
      </c>
    </row>
    <row r="185" spans="1:3" x14ac:dyDescent="0.25">
      <c r="A185" s="8">
        <v>184</v>
      </c>
      <c r="B185" s="8" t="str">
        <f t="shared" ca="1" si="4"/>
        <v/>
      </c>
      <c r="C185" s="21" t="str">
        <f t="shared" ca="1" si="5"/>
        <v/>
      </c>
    </row>
    <row r="186" spans="1:3" x14ac:dyDescent="0.25">
      <c r="A186" s="8">
        <v>185</v>
      </c>
      <c r="B186" s="8" t="str">
        <f t="shared" ca="1" si="4"/>
        <v/>
      </c>
      <c r="C186" s="21" t="str">
        <f t="shared" ca="1" si="5"/>
        <v/>
      </c>
    </row>
    <row r="187" spans="1:3" x14ac:dyDescent="0.25">
      <c r="A187" s="8">
        <v>186</v>
      </c>
      <c r="B187" s="8" t="str">
        <f t="shared" ca="1" si="4"/>
        <v/>
      </c>
      <c r="C187" s="21" t="str">
        <f t="shared" ca="1" si="5"/>
        <v/>
      </c>
    </row>
    <row r="188" spans="1:3" x14ac:dyDescent="0.25">
      <c r="A188" s="8">
        <v>187</v>
      </c>
      <c r="B188" s="8" t="str">
        <f t="shared" ca="1" si="4"/>
        <v/>
      </c>
      <c r="C188" s="21" t="str">
        <f t="shared" ca="1" si="5"/>
        <v/>
      </c>
    </row>
    <row r="189" spans="1:3" x14ac:dyDescent="0.25">
      <c r="A189" s="8">
        <v>188</v>
      </c>
      <c r="B189" s="8" t="str">
        <f t="shared" ca="1" si="4"/>
        <v/>
      </c>
      <c r="C189" s="21" t="str">
        <f t="shared" ca="1" si="5"/>
        <v/>
      </c>
    </row>
    <row r="190" spans="1:3" x14ac:dyDescent="0.25">
      <c r="A190" s="8">
        <v>189</v>
      </c>
      <c r="B190" s="8" t="str">
        <f t="shared" ca="1" si="4"/>
        <v/>
      </c>
      <c r="C190" s="21" t="str">
        <f t="shared" ca="1" si="5"/>
        <v/>
      </c>
    </row>
    <row r="191" spans="1:3" x14ac:dyDescent="0.25">
      <c r="A191" s="8">
        <v>190</v>
      </c>
      <c r="B191" s="8" t="str">
        <f t="shared" ca="1" si="4"/>
        <v/>
      </c>
      <c r="C191" s="21" t="str">
        <f t="shared" ca="1" si="5"/>
        <v/>
      </c>
    </row>
    <row r="192" spans="1:3" x14ac:dyDescent="0.25">
      <c r="A192" s="8">
        <v>191</v>
      </c>
      <c r="B192" s="8" t="str">
        <f t="shared" ca="1" si="4"/>
        <v/>
      </c>
      <c r="C192" s="21" t="str">
        <f t="shared" ca="1" si="5"/>
        <v/>
      </c>
    </row>
    <row r="193" spans="1:3" x14ac:dyDescent="0.25">
      <c r="A193" s="8">
        <v>192</v>
      </c>
      <c r="B193" s="8" t="str">
        <f t="shared" ca="1" si="4"/>
        <v/>
      </c>
      <c r="C193" s="21" t="str">
        <f t="shared" ca="1" si="5"/>
        <v/>
      </c>
    </row>
    <row r="194" spans="1:3" x14ac:dyDescent="0.25">
      <c r="A194" s="8">
        <v>193</v>
      </c>
      <c r="B194" s="8" t="str">
        <f t="shared" ref="B194:B257" ca="1" si="6">IFERROR(INDEX(MasterDwgNumber,A194,3),"")</f>
        <v/>
      </c>
      <c r="C194" s="21" t="str">
        <f t="shared" ref="C194:C257" ca="1" si="7">IFERROR(INDEX(MasterDwgNumber,A194,1),"")</f>
        <v/>
      </c>
    </row>
    <row r="195" spans="1:3" x14ac:dyDescent="0.25">
      <c r="A195" s="8">
        <v>194</v>
      </c>
      <c r="B195" s="8" t="str">
        <f t="shared" ca="1" si="6"/>
        <v/>
      </c>
      <c r="C195" s="21" t="str">
        <f t="shared" ca="1" si="7"/>
        <v/>
      </c>
    </row>
    <row r="196" spans="1:3" x14ac:dyDescent="0.25">
      <c r="A196" s="8">
        <v>195</v>
      </c>
      <c r="B196" s="8" t="str">
        <f t="shared" ca="1" si="6"/>
        <v/>
      </c>
      <c r="C196" s="21" t="str">
        <f t="shared" ca="1" si="7"/>
        <v/>
      </c>
    </row>
    <row r="197" spans="1:3" x14ac:dyDescent="0.25">
      <c r="A197" s="8">
        <v>196</v>
      </c>
      <c r="B197" s="8" t="str">
        <f t="shared" ca="1" si="6"/>
        <v/>
      </c>
      <c r="C197" s="21" t="str">
        <f t="shared" ca="1" si="7"/>
        <v/>
      </c>
    </row>
    <row r="198" spans="1:3" x14ac:dyDescent="0.25">
      <c r="A198" s="8">
        <v>197</v>
      </c>
      <c r="B198" s="8" t="str">
        <f t="shared" ca="1" si="6"/>
        <v/>
      </c>
      <c r="C198" s="21" t="str">
        <f t="shared" ca="1" si="7"/>
        <v/>
      </c>
    </row>
    <row r="199" spans="1:3" x14ac:dyDescent="0.25">
      <c r="A199" s="8">
        <v>198</v>
      </c>
      <c r="B199" s="8" t="str">
        <f t="shared" ca="1" si="6"/>
        <v/>
      </c>
      <c r="C199" s="21" t="str">
        <f t="shared" ca="1" si="7"/>
        <v/>
      </c>
    </row>
    <row r="200" spans="1:3" x14ac:dyDescent="0.25">
      <c r="A200" s="8">
        <v>199</v>
      </c>
      <c r="B200" s="8" t="str">
        <f t="shared" ca="1" si="6"/>
        <v/>
      </c>
      <c r="C200" s="21" t="str">
        <f t="shared" ca="1" si="7"/>
        <v/>
      </c>
    </row>
    <row r="201" spans="1:3" x14ac:dyDescent="0.25">
      <c r="A201" s="8">
        <v>200</v>
      </c>
      <c r="B201" s="8" t="str">
        <f t="shared" ca="1" si="6"/>
        <v/>
      </c>
      <c r="C201" s="21" t="str">
        <f t="shared" ca="1" si="7"/>
        <v/>
      </c>
    </row>
    <row r="202" spans="1:3" x14ac:dyDescent="0.25">
      <c r="A202" s="8">
        <v>201</v>
      </c>
      <c r="B202" s="8" t="str">
        <f t="shared" ca="1" si="6"/>
        <v/>
      </c>
      <c r="C202" s="21" t="str">
        <f t="shared" ca="1" si="7"/>
        <v/>
      </c>
    </row>
    <row r="203" spans="1:3" x14ac:dyDescent="0.25">
      <c r="A203" s="8">
        <v>202</v>
      </c>
      <c r="B203" s="8" t="str">
        <f t="shared" ca="1" si="6"/>
        <v/>
      </c>
      <c r="C203" s="21" t="str">
        <f t="shared" ca="1" si="7"/>
        <v/>
      </c>
    </row>
    <row r="204" spans="1:3" x14ac:dyDescent="0.25">
      <c r="A204" s="8">
        <v>203</v>
      </c>
      <c r="B204" s="8" t="str">
        <f t="shared" ca="1" si="6"/>
        <v/>
      </c>
      <c r="C204" s="21" t="str">
        <f t="shared" ca="1" si="7"/>
        <v/>
      </c>
    </row>
    <row r="205" spans="1:3" x14ac:dyDescent="0.25">
      <c r="A205" s="8">
        <v>204</v>
      </c>
      <c r="B205" s="8" t="str">
        <f t="shared" ca="1" si="6"/>
        <v/>
      </c>
      <c r="C205" s="21" t="str">
        <f t="shared" ca="1" si="7"/>
        <v/>
      </c>
    </row>
    <row r="206" spans="1:3" x14ac:dyDescent="0.25">
      <c r="A206" s="8">
        <v>205</v>
      </c>
      <c r="B206" s="8" t="str">
        <f t="shared" ca="1" si="6"/>
        <v/>
      </c>
      <c r="C206" s="21" t="str">
        <f t="shared" ca="1" si="7"/>
        <v/>
      </c>
    </row>
    <row r="207" spans="1:3" x14ac:dyDescent="0.25">
      <c r="A207" s="8">
        <v>206</v>
      </c>
      <c r="B207" s="8" t="str">
        <f t="shared" ca="1" si="6"/>
        <v/>
      </c>
      <c r="C207" s="21" t="str">
        <f t="shared" ca="1" si="7"/>
        <v/>
      </c>
    </row>
    <row r="208" spans="1:3" x14ac:dyDescent="0.25">
      <c r="A208" s="8">
        <v>207</v>
      </c>
      <c r="B208" s="8" t="str">
        <f t="shared" ca="1" si="6"/>
        <v/>
      </c>
      <c r="C208" s="21" t="str">
        <f t="shared" ca="1" si="7"/>
        <v/>
      </c>
    </row>
    <row r="209" spans="1:3" x14ac:dyDescent="0.25">
      <c r="A209" s="8">
        <v>208</v>
      </c>
      <c r="B209" s="8" t="str">
        <f t="shared" ca="1" si="6"/>
        <v/>
      </c>
      <c r="C209" s="21" t="str">
        <f t="shared" ca="1" si="7"/>
        <v/>
      </c>
    </row>
    <row r="210" spans="1:3" x14ac:dyDescent="0.25">
      <c r="A210" s="8">
        <v>209</v>
      </c>
      <c r="B210" s="8" t="str">
        <f t="shared" ca="1" si="6"/>
        <v/>
      </c>
      <c r="C210" s="21" t="str">
        <f t="shared" ca="1" si="7"/>
        <v/>
      </c>
    </row>
    <row r="211" spans="1:3" x14ac:dyDescent="0.25">
      <c r="A211" s="8">
        <v>210</v>
      </c>
      <c r="B211" s="8" t="str">
        <f t="shared" ca="1" si="6"/>
        <v/>
      </c>
      <c r="C211" s="21" t="str">
        <f t="shared" ca="1" si="7"/>
        <v/>
      </c>
    </row>
    <row r="212" spans="1:3" x14ac:dyDescent="0.25">
      <c r="A212" s="8">
        <v>211</v>
      </c>
      <c r="B212" s="8" t="str">
        <f t="shared" ca="1" si="6"/>
        <v/>
      </c>
      <c r="C212" s="21" t="str">
        <f t="shared" ca="1" si="7"/>
        <v/>
      </c>
    </row>
    <row r="213" spans="1:3" x14ac:dyDescent="0.25">
      <c r="A213" s="8">
        <v>212</v>
      </c>
      <c r="B213" s="8" t="str">
        <f t="shared" ca="1" si="6"/>
        <v/>
      </c>
      <c r="C213" s="21" t="str">
        <f t="shared" ca="1" si="7"/>
        <v/>
      </c>
    </row>
    <row r="214" spans="1:3" x14ac:dyDescent="0.25">
      <c r="A214" s="8">
        <v>213</v>
      </c>
      <c r="B214" s="8" t="str">
        <f t="shared" ca="1" si="6"/>
        <v/>
      </c>
      <c r="C214" s="21" t="str">
        <f t="shared" ca="1" si="7"/>
        <v/>
      </c>
    </row>
    <row r="215" spans="1:3" x14ac:dyDescent="0.25">
      <c r="A215" s="8">
        <v>214</v>
      </c>
      <c r="B215" s="8" t="str">
        <f t="shared" ca="1" si="6"/>
        <v/>
      </c>
      <c r="C215" s="21" t="str">
        <f t="shared" ca="1" si="7"/>
        <v/>
      </c>
    </row>
    <row r="216" spans="1:3" x14ac:dyDescent="0.25">
      <c r="A216" s="8">
        <v>215</v>
      </c>
      <c r="B216" s="8" t="str">
        <f t="shared" ca="1" si="6"/>
        <v/>
      </c>
      <c r="C216" s="21" t="str">
        <f t="shared" ca="1" si="7"/>
        <v/>
      </c>
    </row>
    <row r="217" spans="1:3" x14ac:dyDescent="0.25">
      <c r="A217" s="8">
        <v>216</v>
      </c>
      <c r="B217" s="8" t="str">
        <f t="shared" ca="1" si="6"/>
        <v/>
      </c>
      <c r="C217" s="21" t="str">
        <f t="shared" ca="1" si="7"/>
        <v/>
      </c>
    </row>
    <row r="218" spans="1:3" x14ac:dyDescent="0.25">
      <c r="A218" s="8">
        <v>217</v>
      </c>
      <c r="B218" s="8" t="str">
        <f t="shared" ca="1" si="6"/>
        <v/>
      </c>
      <c r="C218" s="21" t="str">
        <f t="shared" ca="1" si="7"/>
        <v/>
      </c>
    </row>
    <row r="219" spans="1:3" x14ac:dyDescent="0.25">
      <c r="A219" s="8">
        <v>218</v>
      </c>
      <c r="B219" s="8" t="str">
        <f t="shared" ca="1" si="6"/>
        <v/>
      </c>
      <c r="C219" s="21" t="str">
        <f t="shared" ca="1" si="7"/>
        <v/>
      </c>
    </row>
    <row r="220" spans="1:3" x14ac:dyDescent="0.25">
      <c r="A220" s="8">
        <v>219</v>
      </c>
      <c r="B220" s="8" t="str">
        <f t="shared" ca="1" si="6"/>
        <v/>
      </c>
      <c r="C220" s="21" t="str">
        <f t="shared" ca="1" si="7"/>
        <v/>
      </c>
    </row>
    <row r="221" spans="1:3" x14ac:dyDescent="0.25">
      <c r="A221" s="8">
        <v>220</v>
      </c>
      <c r="B221" s="8" t="str">
        <f t="shared" ca="1" si="6"/>
        <v/>
      </c>
      <c r="C221" s="21" t="str">
        <f t="shared" ca="1" si="7"/>
        <v/>
      </c>
    </row>
    <row r="222" spans="1:3" x14ac:dyDescent="0.25">
      <c r="A222" s="8">
        <v>221</v>
      </c>
      <c r="B222" s="8" t="str">
        <f t="shared" ca="1" si="6"/>
        <v/>
      </c>
      <c r="C222" s="21" t="str">
        <f t="shared" ca="1" si="7"/>
        <v/>
      </c>
    </row>
    <row r="223" spans="1:3" x14ac:dyDescent="0.25">
      <c r="A223" s="8">
        <v>222</v>
      </c>
      <c r="B223" s="8" t="str">
        <f t="shared" ca="1" si="6"/>
        <v/>
      </c>
      <c r="C223" s="21" t="str">
        <f t="shared" ca="1" si="7"/>
        <v/>
      </c>
    </row>
    <row r="224" spans="1:3" x14ac:dyDescent="0.25">
      <c r="A224" s="8">
        <v>223</v>
      </c>
      <c r="B224" s="8" t="str">
        <f t="shared" ca="1" si="6"/>
        <v/>
      </c>
      <c r="C224" s="21" t="str">
        <f t="shared" ca="1" si="7"/>
        <v/>
      </c>
    </row>
    <row r="225" spans="1:3" x14ac:dyDescent="0.25">
      <c r="A225" s="8">
        <v>224</v>
      </c>
      <c r="B225" s="8" t="str">
        <f t="shared" ca="1" si="6"/>
        <v/>
      </c>
      <c r="C225" s="21" t="str">
        <f t="shared" ca="1" si="7"/>
        <v/>
      </c>
    </row>
    <row r="226" spans="1:3" x14ac:dyDescent="0.25">
      <c r="A226" s="8">
        <v>225</v>
      </c>
      <c r="B226" s="8" t="str">
        <f t="shared" ca="1" si="6"/>
        <v/>
      </c>
      <c r="C226" s="21" t="str">
        <f t="shared" ca="1" si="7"/>
        <v/>
      </c>
    </row>
    <row r="227" spans="1:3" x14ac:dyDescent="0.25">
      <c r="A227" s="8">
        <v>226</v>
      </c>
      <c r="B227" s="8" t="str">
        <f t="shared" ca="1" si="6"/>
        <v/>
      </c>
      <c r="C227" s="21" t="str">
        <f t="shared" ca="1" si="7"/>
        <v/>
      </c>
    </row>
    <row r="228" spans="1:3" x14ac:dyDescent="0.25">
      <c r="A228" s="8">
        <v>227</v>
      </c>
      <c r="B228" s="8" t="str">
        <f t="shared" ca="1" si="6"/>
        <v/>
      </c>
      <c r="C228" s="21" t="str">
        <f t="shared" ca="1" si="7"/>
        <v/>
      </c>
    </row>
    <row r="229" spans="1:3" x14ac:dyDescent="0.25">
      <c r="A229" s="8">
        <v>228</v>
      </c>
      <c r="B229" s="8" t="str">
        <f t="shared" ca="1" si="6"/>
        <v/>
      </c>
      <c r="C229" s="21" t="str">
        <f t="shared" ca="1" si="7"/>
        <v/>
      </c>
    </row>
    <row r="230" spans="1:3" x14ac:dyDescent="0.25">
      <c r="A230" s="8">
        <v>229</v>
      </c>
      <c r="B230" s="8" t="str">
        <f t="shared" ca="1" si="6"/>
        <v/>
      </c>
      <c r="C230" s="21" t="str">
        <f t="shared" ca="1" si="7"/>
        <v/>
      </c>
    </row>
    <row r="231" spans="1:3" x14ac:dyDescent="0.25">
      <c r="A231" s="8">
        <v>230</v>
      </c>
      <c r="B231" s="8" t="str">
        <f t="shared" ca="1" si="6"/>
        <v/>
      </c>
      <c r="C231" s="21" t="str">
        <f t="shared" ca="1" si="7"/>
        <v/>
      </c>
    </row>
    <row r="232" spans="1:3" x14ac:dyDescent="0.25">
      <c r="A232" s="8">
        <v>231</v>
      </c>
      <c r="B232" s="8" t="str">
        <f t="shared" ca="1" si="6"/>
        <v/>
      </c>
      <c r="C232" s="21" t="str">
        <f t="shared" ca="1" si="7"/>
        <v/>
      </c>
    </row>
    <row r="233" spans="1:3" x14ac:dyDescent="0.25">
      <c r="A233" s="8">
        <v>232</v>
      </c>
      <c r="B233" s="8" t="str">
        <f t="shared" ca="1" si="6"/>
        <v/>
      </c>
      <c r="C233" s="21" t="str">
        <f t="shared" ca="1" si="7"/>
        <v/>
      </c>
    </row>
    <row r="234" spans="1:3" x14ac:dyDescent="0.25">
      <c r="A234" s="8">
        <v>233</v>
      </c>
      <c r="B234" s="8" t="str">
        <f t="shared" ca="1" si="6"/>
        <v/>
      </c>
      <c r="C234" s="21" t="str">
        <f t="shared" ca="1" si="7"/>
        <v/>
      </c>
    </row>
    <row r="235" spans="1:3" x14ac:dyDescent="0.25">
      <c r="A235" s="8">
        <v>234</v>
      </c>
      <c r="B235" s="8" t="str">
        <f t="shared" ca="1" si="6"/>
        <v/>
      </c>
      <c r="C235" s="21" t="str">
        <f t="shared" ca="1" si="7"/>
        <v/>
      </c>
    </row>
    <row r="236" spans="1:3" x14ac:dyDescent="0.25">
      <c r="A236" s="8">
        <v>235</v>
      </c>
      <c r="B236" s="8" t="str">
        <f t="shared" ca="1" si="6"/>
        <v/>
      </c>
      <c r="C236" s="21" t="str">
        <f t="shared" ca="1" si="7"/>
        <v/>
      </c>
    </row>
    <row r="237" spans="1:3" x14ac:dyDescent="0.25">
      <c r="A237" s="8">
        <v>236</v>
      </c>
      <c r="B237" s="8" t="str">
        <f t="shared" ca="1" si="6"/>
        <v/>
      </c>
      <c r="C237" s="21" t="str">
        <f t="shared" ca="1" si="7"/>
        <v/>
      </c>
    </row>
    <row r="238" spans="1:3" x14ac:dyDescent="0.25">
      <c r="A238" s="8">
        <v>237</v>
      </c>
      <c r="B238" s="8" t="str">
        <f t="shared" ca="1" si="6"/>
        <v/>
      </c>
      <c r="C238" s="21" t="str">
        <f t="shared" ca="1" si="7"/>
        <v/>
      </c>
    </row>
    <row r="239" spans="1:3" x14ac:dyDescent="0.25">
      <c r="A239" s="8">
        <v>238</v>
      </c>
      <c r="B239" s="8" t="str">
        <f t="shared" ca="1" si="6"/>
        <v/>
      </c>
      <c r="C239" s="21" t="str">
        <f t="shared" ca="1" si="7"/>
        <v/>
      </c>
    </row>
    <row r="240" spans="1:3" x14ac:dyDescent="0.25">
      <c r="A240" s="8">
        <v>239</v>
      </c>
      <c r="B240" s="8" t="str">
        <f t="shared" ca="1" si="6"/>
        <v/>
      </c>
      <c r="C240" s="21" t="str">
        <f t="shared" ca="1" si="7"/>
        <v/>
      </c>
    </row>
    <row r="241" spans="1:3" x14ac:dyDescent="0.25">
      <c r="A241" s="8">
        <v>240</v>
      </c>
      <c r="B241" s="8" t="str">
        <f t="shared" ca="1" si="6"/>
        <v/>
      </c>
      <c r="C241" s="21" t="str">
        <f t="shared" ca="1" si="7"/>
        <v/>
      </c>
    </row>
    <row r="242" spans="1:3" x14ac:dyDescent="0.25">
      <c r="A242" s="8">
        <v>241</v>
      </c>
      <c r="B242" s="8" t="str">
        <f t="shared" ca="1" si="6"/>
        <v/>
      </c>
      <c r="C242" s="21" t="str">
        <f t="shared" ca="1" si="7"/>
        <v/>
      </c>
    </row>
    <row r="243" spans="1:3" x14ac:dyDescent="0.25">
      <c r="A243" s="8">
        <v>242</v>
      </c>
      <c r="B243" s="8" t="str">
        <f t="shared" ca="1" si="6"/>
        <v/>
      </c>
      <c r="C243" s="21" t="str">
        <f t="shared" ca="1" si="7"/>
        <v/>
      </c>
    </row>
    <row r="244" spans="1:3" x14ac:dyDescent="0.25">
      <c r="A244" s="8">
        <v>243</v>
      </c>
      <c r="B244" s="8" t="str">
        <f t="shared" ca="1" si="6"/>
        <v/>
      </c>
      <c r="C244" s="21" t="str">
        <f t="shared" ca="1" si="7"/>
        <v/>
      </c>
    </row>
    <row r="245" spans="1:3" x14ac:dyDescent="0.25">
      <c r="A245" s="8">
        <v>244</v>
      </c>
      <c r="B245" s="8" t="str">
        <f t="shared" ca="1" si="6"/>
        <v/>
      </c>
      <c r="C245" s="21" t="str">
        <f t="shared" ca="1" si="7"/>
        <v/>
      </c>
    </row>
    <row r="246" spans="1:3" x14ac:dyDescent="0.25">
      <c r="A246" s="8">
        <v>245</v>
      </c>
      <c r="B246" s="8" t="str">
        <f t="shared" ca="1" si="6"/>
        <v/>
      </c>
      <c r="C246" s="21" t="str">
        <f t="shared" ca="1" si="7"/>
        <v/>
      </c>
    </row>
    <row r="247" spans="1:3" x14ac:dyDescent="0.25">
      <c r="A247" s="8">
        <v>246</v>
      </c>
      <c r="B247" s="8" t="str">
        <f t="shared" ca="1" si="6"/>
        <v/>
      </c>
      <c r="C247" s="21" t="str">
        <f t="shared" ca="1" si="7"/>
        <v/>
      </c>
    </row>
    <row r="248" spans="1:3" x14ac:dyDescent="0.25">
      <c r="A248" s="8">
        <v>247</v>
      </c>
      <c r="B248" s="8" t="str">
        <f t="shared" ca="1" si="6"/>
        <v/>
      </c>
      <c r="C248" s="21" t="str">
        <f t="shared" ca="1" si="7"/>
        <v/>
      </c>
    </row>
    <row r="249" spans="1:3" x14ac:dyDescent="0.25">
      <c r="A249" s="8">
        <v>248</v>
      </c>
      <c r="B249" s="8" t="str">
        <f t="shared" ca="1" si="6"/>
        <v/>
      </c>
      <c r="C249" s="21" t="str">
        <f t="shared" ca="1" si="7"/>
        <v/>
      </c>
    </row>
    <row r="250" spans="1:3" x14ac:dyDescent="0.25">
      <c r="A250" s="8">
        <v>249</v>
      </c>
      <c r="B250" s="8" t="str">
        <f t="shared" ca="1" si="6"/>
        <v/>
      </c>
      <c r="C250" s="21" t="str">
        <f t="shared" ca="1" si="7"/>
        <v/>
      </c>
    </row>
    <row r="251" spans="1:3" x14ac:dyDescent="0.25">
      <c r="A251" s="8">
        <v>250</v>
      </c>
      <c r="B251" s="8" t="str">
        <f t="shared" ca="1" si="6"/>
        <v/>
      </c>
      <c r="C251" s="21" t="str">
        <f t="shared" ca="1" si="7"/>
        <v/>
      </c>
    </row>
    <row r="252" spans="1:3" x14ac:dyDescent="0.25">
      <c r="A252" s="8">
        <v>251</v>
      </c>
      <c r="B252" s="8" t="str">
        <f t="shared" ca="1" si="6"/>
        <v/>
      </c>
      <c r="C252" s="21" t="str">
        <f t="shared" ca="1" si="7"/>
        <v/>
      </c>
    </row>
    <row r="253" spans="1:3" x14ac:dyDescent="0.25">
      <c r="A253" s="8">
        <v>252</v>
      </c>
      <c r="B253" s="8" t="str">
        <f t="shared" ca="1" si="6"/>
        <v/>
      </c>
      <c r="C253" s="21" t="str">
        <f t="shared" ca="1" si="7"/>
        <v/>
      </c>
    </row>
    <row r="254" spans="1:3" x14ac:dyDescent="0.25">
      <c r="A254" s="8">
        <v>253</v>
      </c>
      <c r="B254" s="8" t="str">
        <f t="shared" ca="1" si="6"/>
        <v/>
      </c>
      <c r="C254" s="21" t="str">
        <f t="shared" ca="1" si="7"/>
        <v/>
      </c>
    </row>
    <row r="255" spans="1:3" x14ac:dyDescent="0.25">
      <c r="A255" s="8">
        <v>254</v>
      </c>
      <c r="B255" s="8" t="str">
        <f t="shared" ca="1" si="6"/>
        <v/>
      </c>
      <c r="C255" s="21" t="str">
        <f t="shared" ca="1" si="7"/>
        <v/>
      </c>
    </row>
    <row r="256" spans="1:3" x14ac:dyDescent="0.25">
      <c r="A256" s="8">
        <v>255</v>
      </c>
      <c r="B256" s="8" t="str">
        <f t="shared" ca="1" si="6"/>
        <v/>
      </c>
      <c r="C256" s="21" t="str">
        <f t="shared" ca="1" si="7"/>
        <v/>
      </c>
    </row>
    <row r="257" spans="1:3" x14ac:dyDescent="0.25">
      <c r="A257" s="8">
        <v>256</v>
      </c>
      <c r="B257" s="8" t="str">
        <f t="shared" ca="1" si="6"/>
        <v/>
      </c>
      <c r="C257" s="21" t="str">
        <f t="shared" ca="1" si="7"/>
        <v/>
      </c>
    </row>
    <row r="258" spans="1:3" x14ac:dyDescent="0.25">
      <c r="A258" s="8">
        <v>257</v>
      </c>
      <c r="B258" s="8" t="str">
        <f t="shared" ref="B258:B321" ca="1" si="8">IFERROR(INDEX(MasterDwgNumber,A258,3),"")</f>
        <v/>
      </c>
      <c r="C258" s="21" t="str">
        <f t="shared" ref="C258:C321" ca="1" si="9">IFERROR(INDEX(MasterDwgNumber,A258,1),"")</f>
        <v/>
      </c>
    </row>
    <row r="259" spans="1:3" x14ac:dyDescent="0.25">
      <c r="A259" s="8">
        <v>258</v>
      </c>
      <c r="B259" s="8" t="str">
        <f t="shared" ca="1" si="8"/>
        <v/>
      </c>
      <c r="C259" s="21" t="str">
        <f t="shared" ca="1" si="9"/>
        <v/>
      </c>
    </row>
    <row r="260" spans="1:3" x14ac:dyDescent="0.25">
      <c r="A260" s="8">
        <v>259</v>
      </c>
      <c r="B260" s="8" t="str">
        <f t="shared" ca="1" si="8"/>
        <v/>
      </c>
      <c r="C260" s="21" t="str">
        <f t="shared" ca="1" si="9"/>
        <v/>
      </c>
    </row>
    <row r="261" spans="1:3" x14ac:dyDescent="0.25">
      <c r="A261" s="8">
        <v>260</v>
      </c>
      <c r="B261" s="8" t="str">
        <f t="shared" ca="1" si="8"/>
        <v/>
      </c>
      <c r="C261" s="21" t="str">
        <f t="shared" ca="1" si="9"/>
        <v/>
      </c>
    </row>
    <row r="262" spans="1:3" x14ac:dyDescent="0.25">
      <c r="A262" s="8">
        <v>261</v>
      </c>
      <c r="B262" s="8" t="str">
        <f t="shared" ca="1" si="8"/>
        <v/>
      </c>
      <c r="C262" s="21" t="str">
        <f t="shared" ca="1" si="9"/>
        <v/>
      </c>
    </row>
    <row r="263" spans="1:3" x14ac:dyDescent="0.25">
      <c r="A263" s="8">
        <v>262</v>
      </c>
      <c r="B263" s="8" t="str">
        <f t="shared" ca="1" si="8"/>
        <v/>
      </c>
      <c r="C263" s="21" t="str">
        <f t="shared" ca="1" si="9"/>
        <v/>
      </c>
    </row>
    <row r="264" spans="1:3" x14ac:dyDescent="0.25">
      <c r="A264" s="8">
        <v>263</v>
      </c>
      <c r="B264" s="8" t="str">
        <f t="shared" ca="1" si="8"/>
        <v/>
      </c>
      <c r="C264" s="21" t="str">
        <f t="shared" ca="1" si="9"/>
        <v/>
      </c>
    </row>
    <row r="265" spans="1:3" x14ac:dyDescent="0.25">
      <c r="A265" s="8">
        <v>264</v>
      </c>
      <c r="B265" s="8" t="str">
        <f t="shared" ca="1" si="8"/>
        <v/>
      </c>
      <c r="C265" s="21" t="str">
        <f t="shared" ca="1" si="9"/>
        <v/>
      </c>
    </row>
    <row r="266" spans="1:3" x14ac:dyDescent="0.25">
      <c r="A266" s="8">
        <v>265</v>
      </c>
      <c r="B266" s="8" t="str">
        <f t="shared" ca="1" si="8"/>
        <v/>
      </c>
      <c r="C266" s="21" t="str">
        <f t="shared" ca="1" si="9"/>
        <v/>
      </c>
    </row>
    <row r="267" spans="1:3" x14ac:dyDescent="0.25">
      <c r="A267" s="8">
        <v>266</v>
      </c>
      <c r="B267" s="8" t="str">
        <f t="shared" ca="1" si="8"/>
        <v/>
      </c>
      <c r="C267" s="21" t="str">
        <f t="shared" ca="1" si="9"/>
        <v/>
      </c>
    </row>
    <row r="268" spans="1:3" x14ac:dyDescent="0.25">
      <c r="A268" s="8">
        <v>267</v>
      </c>
      <c r="B268" s="8" t="str">
        <f t="shared" ca="1" si="8"/>
        <v/>
      </c>
      <c r="C268" s="21" t="str">
        <f t="shared" ca="1" si="9"/>
        <v/>
      </c>
    </row>
    <row r="269" spans="1:3" x14ac:dyDescent="0.25">
      <c r="A269" s="8">
        <v>268</v>
      </c>
      <c r="B269" s="8" t="str">
        <f t="shared" ca="1" si="8"/>
        <v/>
      </c>
      <c r="C269" s="21" t="str">
        <f t="shared" ca="1" si="9"/>
        <v/>
      </c>
    </row>
    <row r="270" spans="1:3" x14ac:dyDescent="0.25">
      <c r="A270" s="8">
        <v>269</v>
      </c>
      <c r="B270" s="8" t="str">
        <f t="shared" ca="1" si="8"/>
        <v/>
      </c>
      <c r="C270" s="21" t="str">
        <f t="shared" ca="1" si="9"/>
        <v/>
      </c>
    </row>
    <row r="271" spans="1:3" x14ac:dyDescent="0.25">
      <c r="A271" s="8">
        <v>270</v>
      </c>
      <c r="B271" s="8" t="str">
        <f t="shared" ca="1" si="8"/>
        <v/>
      </c>
      <c r="C271" s="21" t="str">
        <f t="shared" ca="1" si="9"/>
        <v/>
      </c>
    </row>
    <row r="272" spans="1:3" x14ac:dyDescent="0.25">
      <c r="A272" s="8">
        <v>271</v>
      </c>
      <c r="B272" s="8" t="str">
        <f t="shared" ca="1" si="8"/>
        <v/>
      </c>
      <c r="C272" s="21" t="str">
        <f t="shared" ca="1" si="9"/>
        <v/>
      </c>
    </row>
    <row r="273" spans="1:3" x14ac:dyDescent="0.25">
      <c r="A273" s="8">
        <v>272</v>
      </c>
      <c r="B273" s="8" t="str">
        <f t="shared" ca="1" si="8"/>
        <v/>
      </c>
      <c r="C273" s="21" t="str">
        <f t="shared" ca="1" si="9"/>
        <v/>
      </c>
    </row>
    <row r="274" spans="1:3" x14ac:dyDescent="0.25">
      <c r="A274" s="8">
        <v>273</v>
      </c>
      <c r="B274" s="8" t="str">
        <f t="shared" ca="1" si="8"/>
        <v/>
      </c>
      <c r="C274" s="21" t="str">
        <f t="shared" ca="1" si="9"/>
        <v/>
      </c>
    </row>
    <row r="275" spans="1:3" x14ac:dyDescent="0.25">
      <c r="A275" s="8">
        <v>274</v>
      </c>
      <c r="B275" s="8" t="str">
        <f t="shared" ca="1" si="8"/>
        <v/>
      </c>
      <c r="C275" s="21" t="str">
        <f t="shared" ca="1" si="9"/>
        <v/>
      </c>
    </row>
    <row r="276" spans="1:3" x14ac:dyDescent="0.25">
      <c r="A276" s="8">
        <v>275</v>
      </c>
      <c r="B276" s="8" t="str">
        <f t="shared" ca="1" si="8"/>
        <v/>
      </c>
      <c r="C276" s="21" t="str">
        <f t="shared" ca="1" si="9"/>
        <v/>
      </c>
    </row>
    <row r="277" spans="1:3" x14ac:dyDescent="0.25">
      <c r="A277" s="8">
        <v>276</v>
      </c>
      <c r="B277" s="8" t="str">
        <f t="shared" ca="1" si="8"/>
        <v/>
      </c>
      <c r="C277" s="21" t="str">
        <f t="shared" ca="1" si="9"/>
        <v/>
      </c>
    </row>
    <row r="278" spans="1:3" x14ac:dyDescent="0.25">
      <c r="A278" s="8">
        <v>277</v>
      </c>
      <c r="B278" s="8" t="str">
        <f t="shared" ca="1" si="8"/>
        <v/>
      </c>
      <c r="C278" s="21" t="str">
        <f t="shared" ca="1" si="9"/>
        <v/>
      </c>
    </row>
    <row r="279" spans="1:3" x14ac:dyDescent="0.25">
      <c r="A279" s="8">
        <v>278</v>
      </c>
      <c r="B279" s="8" t="str">
        <f t="shared" ca="1" si="8"/>
        <v/>
      </c>
      <c r="C279" s="21" t="str">
        <f t="shared" ca="1" si="9"/>
        <v/>
      </c>
    </row>
    <row r="280" spans="1:3" x14ac:dyDescent="0.25">
      <c r="A280" s="8">
        <v>279</v>
      </c>
      <c r="B280" s="8" t="str">
        <f t="shared" ca="1" si="8"/>
        <v/>
      </c>
      <c r="C280" s="21" t="str">
        <f t="shared" ca="1" si="9"/>
        <v/>
      </c>
    </row>
    <row r="281" spans="1:3" x14ac:dyDescent="0.25">
      <c r="A281" s="8">
        <v>280</v>
      </c>
      <c r="B281" s="8" t="str">
        <f t="shared" ca="1" si="8"/>
        <v/>
      </c>
      <c r="C281" s="21" t="str">
        <f t="shared" ca="1" si="9"/>
        <v/>
      </c>
    </row>
    <row r="282" spans="1:3" x14ac:dyDescent="0.25">
      <c r="A282" s="8">
        <v>281</v>
      </c>
      <c r="B282" s="8" t="str">
        <f t="shared" ca="1" si="8"/>
        <v/>
      </c>
      <c r="C282" s="21" t="str">
        <f t="shared" ca="1" si="9"/>
        <v/>
      </c>
    </row>
    <row r="283" spans="1:3" x14ac:dyDescent="0.25">
      <c r="A283" s="8">
        <v>282</v>
      </c>
      <c r="B283" s="8" t="str">
        <f t="shared" ca="1" si="8"/>
        <v/>
      </c>
      <c r="C283" s="21" t="str">
        <f t="shared" ca="1" si="9"/>
        <v/>
      </c>
    </row>
    <row r="284" spans="1:3" x14ac:dyDescent="0.25">
      <c r="A284" s="8">
        <v>283</v>
      </c>
      <c r="B284" s="8" t="str">
        <f t="shared" ca="1" si="8"/>
        <v/>
      </c>
      <c r="C284" s="21" t="str">
        <f t="shared" ca="1" si="9"/>
        <v/>
      </c>
    </row>
    <row r="285" spans="1:3" x14ac:dyDescent="0.25">
      <c r="A285" s="8">
        <v>284</v>
      </c>
      <c r="B285" s="8" t="str">
        <f t="shared" ca="1" si="8"/>
        <v/>
      </c>
      <c r="C285" s="21" t="str">
        <f t="shared" ca="1" si="9"/>
        <v/>
      </c>
    </row>
    <row r="286" spans="1:3" x14ac:dyDescent="0.25">
      <c r="A286" s="8">
        <v>285</v>
      </c>
      <c r="B286" s="8" t="str">
        <f t="shared" ca="1" si="8"/>
        <v/>
      </c>
      <c r="C286" s="21" t="str">
        <f t="shared" ca="1" si="9"/>
        <v/>
      </c>
    </row>
    <row r="287" spans="1:3" x14ac:dyDescent="0.25">
      <c r="A287" s="8">
        <v>286</v>
      </c>
      <c r="B287" s="8" t="str">
        <f t="shared" ca="1" si="8"/>
        <v/>
      </c>
      <c r="C287" s="21" t="str">
        <f t="shared" ca="1" si="9"/>
        <v/>
      </c>
    </row>
    <row r="288" spans="1:3" x14ac:dyDescent="0.25">
      <c r="A288" s="8">
        <v>287</v>
      </c>
      <c r="B288" s="8" t="str">
        <f t="shared" ca="1" si="8"/>
        <v/>
      </c>
      <c r="C288" s="21" t="str">
        <f t="shared" ca="1" si="9"/>
        <v/>
      </c>
    </row>
    <row r="289" spans="1:3" x14ac:dyDescent="0.25">
      <c r="A289" s="8">
        <v>288</v>
      </c>
      <c r="B289" s="8" t="str">
        <f t="shared" ca="1" si="8"/>
        <v/>
      </c>
      <c r="C289" s="21" t="str">
        <f t="shared" ca="1" si="9"/>
        <v/>
      </c>
    </row>
    <row r="290" spans="1:3" x14ac:dyDescent="0.25">
      <c r="A290" s="8">
        <v>289</v>
      </c>
      <c r="B290" s="8" t="str">
        <f t="shared" ca="1" si="8"/>
        <v/>
      </c>
      <c r="C290" s="21" t="str">
        <f t="shared" ca="1" si="9"/>
        <v/>
      </c>
    </row>
    <row r="291" spans="1:3" x14ac:dyDescent="0.25">
      <c r="A291" s="8">
        <v>290</v>
      </c>
      <c r="B291" s="8" t="str">
        <f t="shared" ca="1" si="8"/>
        <v/>
      </c>
      <c r="C291" s="21" t="str">
        <f t="shared" ca="1" si="9"/>
        <v/>
      </c>
    </row>
    <row r="292" spans="1:3" x14ac:dyDescent="0.25">
      <c r="A292" s="8">
        <v>291</v>
      </c>
      <c r="B292" s="8" t="str">
        <f t="shared" ca="1" si="8"/>
        <v/>
      </c>
      <c r="C292" s="21" t="str">
        <f t="shared" ca="1" si="9"/>
        <v/>
      </c>
    </row>
    <row r="293" spans="1:3" x14ac:dyDescent="0.25">
      <c r="A293" s="8">
        <v>292</v>
      </c>
      <c r="B293" s="8" t="str">
        <f t="shared" ca="1" si="8"/>
        <v/>
      </c>
      <c r="C293" s="21" t="str">
        <f t="shared" ca="1" si="9"/>
        <v/>
      </c>
    </row>
    <row r="294" spans="1:3" x14ac:dyDescent="0.25">
      <c r="A294" s="8">
        <v>293</v>
      </c>
      <c r="B294" s="8" t="str">
        <f t="shared" ca="1" si="8"/>
        <v/>
      </c>
      <c r="C294" s="21" t="str">
        <f t="shared" ca="1" si="9"/>
        <v/>
      </c>
    </row>
    <row r="295" spans="1:3" x14ac:dyDescent="0.25">
      <c r="A295" s="8">
        <v>294</v>
      </c>
      <c r="B295" s="8" t="str">
        <f t="shared" ca="1" si="8"/>
        <v/>
      </c>
      <c r="C295" s="21" t="str">
        <f t="shared" ca="1" si="9"/>
        <v/>
      </c>
    </row>
    <row r="296" spans="1:3" x14ac:dyDescent="0.25">
      <c r="A296" s="8">
        <v>295</v>
      </c>
      <c r="B296" s="8" t="str">
        <f t="shared" ca="1" si="8"/>
        <v/>
      </c>
      <c r="C296" s="21" t="str">
        <f t="shared" ca="1" si="9"/>
        <v/>
      </c>
    </row>
    <row r="297" spans="1:3" x14ac:dyDescent="0.25">
      <c r="A297" s="8">
        <v>296</v>
      </c>
      <c r="B297" s="8" t="str">
        <f t="shared" ca="1" si="8"/>
        <v/>
      </c>
      <c r="C297" s="21" t="str">
        <f t="shared" ca="1" si="9"/>
        <v/>
      </c>
    </row>
    <row r="298" spans="1:3" x14ac:dyDescent="0.25">
      <c r="A298" s="8">
        <v>297</v>
      </c>
      <c r="B298" s="8" t="str">
        <f t="shared" ca="1" si="8"/>
        <v/>
      </c>
      <c r="C298" s="21" t="str">
        <f t="shared" ca="1" si="9"/>
        <v/>
      </c>
    </row>
    <row r="299" spans="1:3" x14ac:dyDescent="0.25">
      <c r="A299" s="8">
        <v>298</v>
      </c>
      <c r="B299" s="8" t="str">
        <f t="shared" ca="1" si="8"/>
        <v/>
      </c>
      <c r="C299" s="21" t="str">
        <f t="shared" ca="1" si="9"/>
        <v/>
      </c>
    </row>
    <row r="300" spans="1:3" x14ac:dyDescent="0.25">
      <c r="A300" s="8">
        <v>299</v>
      </c>
      <c r="B300" s="8" t="str">
        <f t="shared" ca="1" si="8"/>
        <v/>
      </c>
      <c r="C300" s="21" t="str">
        <f t="shared" ca="1" si="9"/>
        <v/>
      </c>
    </row>
    <row r="301" spans="1:3" x14ac:dyDescent="0.25">
      <c r="A301" s="8">
        <v>300</v>
      </c>
      <c r="B301" s="8" t="str">
        <f t="shared" ca="1" si="8"/>
        <v/>
      </c>
      <c r="C301" s="21" t="str">
        <f t="shared" ca="1" si="9"/>
        <v/>
      </c>
    </row>
    <row r="302" spans="1:3" x14ac:dyDescent="0.25">
      <c r="A302" s="8">
        <v>301</v>
      </c>
      <c r="B302" s="8" t="str">
        <f t="shared" ca="1" si="8"/>
        <v/>
      </c>
      <c r="C302" s="21" t="str">
        <f t="shared" ca="1" si="9"/>
        <v/>
      </c>
    </row>
    <row r="303" spans="1:3" x14ac:dyDescent="0.25">
      <c r="A303" s="8">
        <v>302</v>
      </c>
      <c r="B303" s="8" t="str">
        <f t="shared" ca="1" si="8"/>
        <v/>
      </c>
      <c r="C303" s="21" t="str">
        <f t="shared" ca="1" si="9"/>
        <v/>
      </c>
    </row>
    <row r="304" spans="1:3" x14ac:dyDescent="0.25">
      <c r="A304" s="8">
        <v>303</v>
      </c>
      <c r="B304" s="8" t="str">
        <f t="shared" ca="1" si="8"/>
        <v/>
      </c>
      <c r="C304" s="21" t="str">
        <f t="shared" ca="1" si="9"/>
        <v/>
      </c>
    </row>
    <row r="305" spans="1:3" x14ac:dyDescent="0.25">
      <c r="A305" s="8">
        <v>304</v>
      </c>
      <c r="B305" s="8" t="str">
        <f t="shared" ca="1" si="8"/>
        <v/>
      </c>
      <c r="C305" s="21" t="str">
        <f t="shared" ca="1" si="9"/>
        <v/>
      </c>
    </row>
    <row r="306" spans="1:3" x14ac:dyDescent="0.25">
      <c r="A306" s="8">
        <v>305</v>
      </c>
      <c r="B306" s="8" t="str">
        <f t="shared" ca="1" si="8"/>
        <v/>
      </c>
      <c r="C306" s="21" t="str">
        <f t="shared" ca="1" si="9"/>
        <v/>
      </c>
    </row>
    <row r="307" spans="1:3" x14ac:dyDescent="0.25">
      <c r="A307" s="8">
        <v>306</v>
      </c>
      <c r="B307" s="8" t="str">
        <f t="shared" ca="1" si="8"/>
        <v/>
      </c>
      <c r="C307" s="21" t="str">
        <f t="shared" ca="1" si="9"/>
        <v/>
      </c>
    </row>
    <row r="308" spans="1:3" x14ac:dyDescent="0.25">
      <c r="A308" s="8">
        <v>307</v>
      </c>
      <c r="B308" s="8" t="str">
        <f t="shared" ca="1" si="8"/>
        <v/>
      </c>
      <c r="C308" s="21" t="str">
        <f t="shared" ca="1" si="9"/>
        <v/>
      </c>
    </row>
    <row r="309" spans="1:3" x14ac:dyDescent="0.25">
      <c r="A309" s="8">
        <v>308</v>
      </c>
      <c r="B309" s="8" t="str">
        <f t="shared" ca="1" si="8"/>
        <v/>
      </c>
      <c r="C309" s="21" t="str">
        <f t="shared" ca="1" si="9"/>
        <v/>
      </c>
    </row>
    <row r="310" spans="1:3" x14ac:dyDescent="0.25">
      <c r="A310" s="8">
        <v>309</v>
      </c>
      <c r="B310" s="8" t="str">
        <f t="shared" ca="1" si="8"/>
        <v/>
      </c>
      <c r="C310" s="21" t="str">
        <f t="shared" ca="1" si="9"/>
        <v/>
      </c>
    </row>
    <row r="311" spans="1:3" x14ac:dyDescent="0.25">
      <c r="A311" s="8">
        <v>310</v>
      </c>
      <c r="B311" s="8" t="str">
        <f t="shared" ca="1" si="8"/>
        <v/>
      </c>
      <c r="C311" s="21" t="str">
        <f t="shared" ca="1" si="9"/>
        <v/>
      </c>
    </row>
    <row r="312" spans="1:3" x14ac:dyDescent="0.25">
      <c r="A312" s="8">
        <v>311</v>
      </c>
      <c r="B312" s="8" t="str">
        <f t="shared" ca="1" si="8"/>
        <v/>
      </c>
      <c r="C312" s="21" t="str">
        <f t="shared" ca="1" si="9"/>
        <v/>
      </c>
    </row>
    <row r="313" spans="1:3" x14ac:dyDescent="0.25">
      <c r="A313" s="8">
        <v>312</v>
      </c>
      <c r="B313" s="8" t="str">
        <f t="shared" ca="1" si="8"/>
        <v/>
      </c>
      <c r="C313" s="21" t="str">
        <f t="shared" ca="1" si="9"/>
        <v/>
      </c>
    </row>
    <row r="314" spans="1:3" x14ac:dyDescent="0.25">
      <c r="A314" s="8">
        <v>313</v>
      </c>
      <c r="B314" s="8" t="str">
        <f t="shared" ca="1" si="8"/>
        <v/>
      </c>
      <c r="C314" s="21" t="str">
        <f t="shared" ca="1" si="9"/>
        <v/>
      </c>
    </row>
    <row r="315" spans="1:3" x14ac:dyDescent="0.25">
      <c r="A315" s="8">
        <v>314</v>
      </c>
      <c r="B315" s="8" t="str">
        <f t="shared" ca="1" si="8"/>
        <v/>
      </c>
      <c r="C315" s="21" t="str">
        <f t="shared" ca="1" si="9"/>
        <v/>
      </c>
    </row>
    <row r="316" spans="1:3" x14ac:dyDescent="0.25">
      <c r="A316" s="8">
        <v>315</v>
      </c>
      <c r="B316" s="8" t="str">
        <f t="shared" ca="1" si="8"/>
        <v/>
      </c>
      <c r="C316" s="21" t="str">
        <f t="shared" ca="1" si="9"/>
        <v/>
      </c>
    </row>
    <row r="317" spans="1:3" x14ac:dyDescent="0.25">
      <c r="A317" s="8">
        <v>316</v>
      </c>
      <c r="B317" s="8" t="str">
        <f t="shared" ca="1" si="8"/>
        <v/>
      </c>
      <c r="C317" s="21" t="str">
        <f t="shared" ca="1" si="9"/>
        <v/>
      </c>
    </row>
    <row r="318" spans="1:3" x14ac:dyDescent="0.25">
      <c r="A318" s="8">
        <v>317</v>
      </c>
      <c r="B318" s="8" t="str">
        <f t="shared" ca="1" si="8"/>
        <v/>
      </c>
      <c r="C318" s="21" t="str">
        <f t="shared" ca="1" si="9"/>
        <v/>
      </c>
    </row>
    <row r="319" spans="1:3" x14ac:dyDescent="0.25">
      <c r="A319" s="8">
        <v>318</v>
      </c>
      <c r="B319" s="8" t="str">
        <f t="shared" ca="1" si="8"/>
        <v/>
      </c>
      <c r="C319" s="21" t="str">
        <f t="shared" ca="1" si="9"/>
        <v/>
      </c>
    </row>
    <row r="320" spans="1:3" x14ac:dyDescent="0.25">
      <c r="A320" s="8">
        <v>319</v>
      </c>
      <c r="B320" s="8" t="str">
        <f t="shared" ca="1" si="8"/>
        <v/>
      </c>
      <c r="C320" s="21" t="str">
        <f t="shared" ca="1" si="9"/>
        <v/>
      </c>
    </row>
    <row r="321" spans="1:3" x14ac:dyDescent="0.25">
      <c r="A321" s="8">
        <v>320</v>
      </c>
      <c r="B321" s="8" t="str">
        <f t="shared" ca="1" si="8"/>
        <v/>
      </c>
      <c r="C321" s="21" t="str">
        <f t="shared" ca="1" si="9"/>
        <v/>
      </c>
    </row>
    <row r="322" spans="1:3" x14ac:dyDescent="0.25">
      <c r="A322" s="8">
        <v>321</v>
      </c>
      <c r="B322" s="8" t="str">
        <f t="shared" ref="B322:B385" ca="1" si="10">IFERROR(INDEX(MasterDwgNumber,A322,3),"")</f>
        <v/>
      </c>
      <c r="C322" s="21" t="str">
        <f t="shared" ref="C322:C385" ca="1" si="11">IFERROR(INDEX(MasterDwgNumber,A322,1),"")</f>
        <v/>
      </c>
    </row>
    <row r="323" spans="1:3" x14ac:dyDescent="0.25">
      <c r="A323" s="8">
        <v>322</v>
      </c>
      <c r="B323" s="8" t="str">
        <f t="shared" ca="1" si="10"/>
        <v/>
      </c>
      <c r="C323" s="21" t="str">
        <f t="shared" ca="1" si="11"/>
        <v/>
      </c>
    </row>
    <row r="324" spans="1:3" x14ac:dyDescent="0.25">
      <c r="A324" s="8">
        <v>323</v>
      </c>
      <c r="B324" s="8" t="str">
        <f t="shared" ca="1" si="10"/>
        <v/>
      </c>
      <c r="C324" s="21" t="str">
        <f t="shared" ca="1" si="11"/>
        <v/>
      </c>
    </row>
    <row r="325" spans="1:3" x14ac:dyDescent="0.25">
      <c r="A325" s="8">
        <v>324</v>
      </c>
      <c r="B325" s="8" t="str">
        <f t="shared" ca="1" si="10"/>
        <v/>
      </c>
      <c r="C325" s="21" t="str">
        <f t="shared" ca="1" si="11"/>
        <v/>
      </c>
    </row>
    <row r="326" spans="1:3" x14ac:dyDescent="0.25">
      <c r="A326" s="8">
        <v>325</v>
      </c>
      <c r="B326" s="8" t="str">
        <f t="shared" ca="1" si="10"/>
        <v/>
      </c>
      <c r="C326" s="21" t="str">
        <f t="shared" ca="1" si="11"/>
        <v/>
      </c>
    </row>
    <row r="327" spans="1:3" x14ac:dyDescent="0.25">
      <c r="A327" s="8">
        <v>326</v>
      </c>
      <c r="B327" s="8" t="str">
        <f t="shared" ca="1" si="10"/>
        <v/>
      </c>
      <c r="C327" s="21" t="str">
        <f t="shared" ca="1" si="11"/>
        <v/>
      </c>
    </row>
    <row r="328" spans="1:3" x14ac:dyDescent="0.25">
      <c r="A328" s="8">
        <v>327</v>
      </c>
      <c r="B328" s="8" t="str">
        <f t="shared" ca="1" si="10"/>
        <v/>
      </c>
      <c r="C328" s="21" t="str">
        <f t="shared" ca="1" si="11"/>
        <v/>
      </c>
    </row>
    <row r="329" spans="1:3" x14ac:dyDescent="0.25">
      <c r="A329" s="8">
        <v>328</v>
      </c>
      <c r="B329" s="8" t="str">
        <f t="shared" ca="1" si="10"/>
        <v/>
      </c>
      <c r="C329" s="21" t="str">
        <f t="shared" ca="1" si="11"/>
        <v/>
      </c>
    </row>
    <row r="330" spans="1:3" x14ac:dyDescent="0.25">
      <c r="A330" s="8">
        <v>329</v>
      </c>
      <c r="B330" s="8" t="str">
        <f t="shared" ca="1" si="10"/>
        <v/>
      </c>
      <c r="C330" s="21" t="str">
        <f t="shared" ca="1" si="11"/>
        <v/>
      </c>
    </row>
    <row r="331" spans="1:3" x14ac:dyDescent="0.25">
      <c r="A331" s="8">
        <v>330</v>
      </c>
      <c r="B331" s="8" t="str">
        <f t="shared" ca="1" si="10"/>
        <v/>
      </c>
      <c r="C331" s="21" t="str">
        <f t="shared" ca="1" si="11"/>
        <v/>
      </c>
    </row>
    <row r="332" spans="1:3" x14ac:dyDescent="0.25">
      <c r="A332" s="8">
        <v>331</v>
      </c>
      <c r="B332" s="8" t="str">
        <f t="shared" ca="1" si="10"/>
        <v/>
      </c>
      <c r="C332" s="21" t="str">
        <f t="shared" ca="1" si="11"/>
        <v/>
      </c>
    </row>
    <row r="333" spans="1:3" x14ac:dyDescent="0.25">
      <c r="A333" s="8">
        <v>332</v>
      </c>
      <c r="B333" s="8" t="str">
        <f t="shared" ca="1" si="10"/>
        <v/>
      </c>
      <c r="C333" s="21" t="str">
        <f t="shared" ca="1" si="11"/>
        <v/>
      </c>
    </row>
    <row r="334" spans="1:3" x14ac:dyDescent="0.25">
      <c r="A334" s="8">
        <v>333</v>
      </c>
      <c r="B334" s="8" t="str">
        <f t="shared" ca="1" si="10"/>
        <v/>
      </c>
      <c r="C334" s="21" t="str">
        <f t="shared" ca="1" si="11"/>
        <v/>
      </c>
    </row>
    <row r="335" spans="1:3" x14ac:dyDescent="0.25">
      <c r="A335" s="8">
        <v>334</v>
      </c>
      <c r="B335" s="8" t="str">
        <f t="shared" ca="1" si="10"/>
        <v/>
      </c>
      <c r="C335" s="21" t="str">
        <f t="shared" ca="1" si="11"/>
        <v/>
      </c>
    </row>
    <row r="336" spans="1:3" x14ac:dyDescent="0.25">
      <c r="A336" s="8">
        <v>335</v>
      </c>
      <c r="B336" s="8" t="str">
        <f t="shared" ca="1" si="10"/>
        <v/>
      </c>
      <c r="C336" s="21" t="str">
        <f t="shared" ca="1" si="11"/>
        <v/>
      </c>
    </row>
    <row r="337" spans="1:3" x14ac:dyDescent="0.25">
      <c r="A337" s="8">
        <v>336</v>
      </c>
      <c r="B337" s="8" t="str">
        <f t="shared" ca="1" si="10"/>
        <v/>
      </c>
      <c r="C337" s="21" t="str">
        <f t="shared" ca="1" si="11"/>
        <v/>
      </c>
    </row>
    <row r="338" spans="1:3" x14ac:dyDescent="0.25">
      <c r="A338" s="8">
        <v>337</v>
      </c>
      <c r="B338" s="8" t="str">
        <f t="shared" ca="1" si="10"/>
        <v/>
      </c>
      <c r="C338" s="21" t="str">
        <f t="shared" ca="1" si="11"/>
        <v/>
      </c>
    </row>
    <row r="339" spans="1:3" x14ac:dyDescent="0.25">
      <c r="A339" s="8">
        <v>338</v>
      </c>
      <c r="B339" s="8" t="str">
        <f t="shared" ca="1" si="10"/>
        <v/>
      </c>
      <c r="C339" s="21" t="str">
        <f t="shared" ca="1" si="11"/>
        <v/>
      </c>
    </row>
    <row r="340" spans="1:3" x14ac:dyDescent="0.25">
      <c r="A340" s="8">
        <v>339</v>
      </c>
      <c r="B340" s="8" t="str">
        <f t="shared" ca="1" si="10"/>
        <v/>
      </c>
      <c r="C340" s="21" t="str">
        <f t="shared" ca="1" si="11"/>
        <v/>
      </c>
    </row>
    <row r="341" spans="1:3" x14ac:dyDescent="0.25">
      <c r="A341" s="8">
        <v>340</v>
      </c>
      <c r="B341" s="8" t="str">
        <f t="shared" ca="1" si="10"/>
        <v/>
      </c>
      <c r="C341" s="21" t="str">
        <f t="shared" ca="1" si="11"/>
        <v/>
      </c>
    </row>
    <row r="342" spans="1:3" x14ac:dyDescent="0.25">
      <c r="A342" s="8">
        <v>341</v>
      </c>
      <c r="B342" s="8" t="str">
        <f t="shared" ca="1" si="10"/>
        <v/>
      </c>
      <c r="C342" s="21" t="str">
        <f t="shared" ca="1" si="11"/>
        <v/>
      </c>
    </row>
    <row r="343" spans="1:3" x14ac:dyDescent="0.25">
      <c r="A343" s="8">
        <v>342</v>
      </c>
      <c r="B343" s="8" t="str">
        <f t="shared" ca="1" si="10"/>
        <v/>
      </c>
      <c r="C343" s="21" t="str">
        <f t="shared" ca="1" si="11"/>
        <v/>
      </c>
    </row>
    <row r="344" spans="1:3" x14ac:dyDescent="0.25">
      <c r="A344" s="8">
        <v>343</v>
      </c>
      <c r="B344" s="8" t="str">
        <f t="shared" ca="1" si="10"/>
        <v/>
      </c>
      <c r="C344" s="21" t="str">
        <f t="shared" ca="1" si="11"/>
        <v/>
      </c>
    </row>
    <row r="345" spans="1:3" x14ac:dyDescent="0.25">
      <c r="A345" s="8">
        <v>344</v>
      </c>
      <c r="B345" s="8" t="str">
        <f t="shared" ca="1" si="10"/>
        <v/>
      </c>
      <c r="C345" s="21" t="str">
        <f t="shared" ca="1" si="11"/>
        <v/>
      </c>
    </row>
    <row r="346" spans="1:3" x14ac:dyDescent="0.25">
      <c r="A346" s="8">
        <v>345</v>
      </c>
      <c r="B346" s="8" t="str">
        <f t="shared" ca="1" si="10"/>
        <v/>
      </c>
      <c r="C346" s="21" t="str">
        <f t="shared" ca="1" si="11"/>
        <v/>
      </c>
    </row>
    <row r="347" spans="1:3" x14ac:dyDescent="0.25">
      <c r="A347" s="8">
        <v>346</v>
      </c>
      <c r="B347" s="8" t="str">
        <f t="shared" ca="1" si="10"/>
        <v/>
      </c>
      <c r="C347" s="21" t="str">
        <f t="shared" ca="1" si="11"/>
        <v/>
      </c>
    </row>
    <row r="348" spans="1:3" x14ac:dyDescent="0.25">
      <c r="A348" s="8">
        <v>347</v>
      </c>
      <c r="B348" s="8" t="str">
        <f t="shared" ca="1" si="10"/>
        <v/>
      </c>
      <c r="C348" s="21" t="str">
        <f t="shared" ca="1" si="11"/>
        <v/>
      </c>
    </row>
    <row r="349" spans="1:3" x14ac:dyDescent="0.25">
      <c r="A349" s="8">
        <v>348</v>
      </c>
      <c r="B349" s="8" t="str">
        <f t="shared" ca="1" si="10"/>
        <v/>
      </c>
      <c r="C349" s="21" t="str">
        <f t="shared" ca="1" si="11"/>
        <v/>
      </c>
    </row>
    <row r="350" spans="1:3" x14ac:dyDescent="0.25">
      <c r="A350" s="8">
        <v>349</v>
      </c>
      <c r="B350" s="8" t="str">
        <f t="shared" ca="1" si="10"/>
        <v/>
      </c>
      <c r="C350" s="21" t="str">
        <f t="shared" ca="1" si="11"/>
        <v/>
      </c>
    </row>
    <row r="351" spans="1:3" x14ac:dyDescent="0.25">
      <c r="A351" s="8">
        <v>350</v>
      </c>
      <c r="B351" s="8" t="str">
        <f t="shared" ca="1" si="10"/>
        <v/>
      </c>
      <c r="C351" s="21" t="str">
        <f t="shared" ca="1" si="11"/>
        <v/>
      </c>
    </row>
    <row r="352" spans="1:3" x14ac:dyDescent="0.25">
      <c r="A352" s="8">
        <v>351</v>
      </c>
      <c r="B352" s="8" t="str">
        <f t="shared" ca="1" si="10"/>
        <v/>
      </c>
      <c r="C352" s="21" t="str">
        <f t="shared" ca="1" si="11"/>
        <v/>
      </c>
    </row>
    <row r="353" spans="1:3" x14ac:dyDescent="0.25">
      <c r="A353" s="8">
        <v>352</v>
      </c>
      <c r="B353" s="8" t="str">
        <f t="shared" ca="1" si="10"/>
        <v/>
      </c>
      <c r="C353" s="21" t="str">
        <f t="shared" ca="1" si="11"/>
        <v/>
      </c>
    </row>
    <row r="354" spans="1:3" x14ac:dyDescent="0.25">
      <c r="A354" s="8">
        <v>353</v>
      </c>
      <c r="B354" s="8" t="str">
        <f t="shared" ca="1" si="10"/>
        <v/>
      </c>
      <c r="C354" s="21" t="str">
        <f t="shared" ca="1" si="11"/>
        <v/>
      </c>
    </row>
    <row r="355" spans="1:3" x14ac:dyDescent="0.25">
      <c r="A355" s="8">
        <v>354</v>
      </c>
      <c r="B355" s="8" t="str">
        <f t="shared" ca="1" si="10"/>
        <v/>
      </c>
      <c r="C355" s="21" t="str">
        <f t="shared" ca="1" si="11"/>
        <v/>
      </c>
    </row>
    <row r="356" spans="1:3" x14ac:dyDescent="0.25">
      <c r="A356" s="8">
        <v>355</v>
      </c>
      <c r="B356" s="8" t="str">
        <f t="shared" ca="1" si="10"/>
        <v/>
      </c>
      <c r="C356" s="21" t="str">
        <f t="shared" ca="1" si="11"/>
        <v/>
      </c>
    </row>
    <row r="357" spans="1:3" x14ac:dyDescent="0.25">
      <c r="A357" s="8">
        <v>356</v>
      </c>
      <c r="B357" s="8" t="str">
        <f t="shared" ca="1" si="10"/>
        <v/>
      </c>
      <c r="C357" s="21" t="str">
        <f t="shared" ca="1" si="11"/>
        <v/>
      </c>
    </row>
    <row r="358" spans="1:3" x14ac:dyDescent="0.25">
      <c r="A358" s="8">
        <v>357</v>
      </c>
      <c r="B358" s="8" t="str">
        <f t="shared" ca="1" si="10"/>
        <v/>
      </c>
      <c r="C358" s="21" t="str">
        <f t="shared" ca="1" si="11"/>
        <v/>
      </c>
    </row>
    <row r="359" spans="1:3" x14ac:dyDescent="0.25">
      <c r="A359" s="8">
        <v>358</v>
      </c>
      <c r="B359" s="8" t="str">
        <f t="shared" ca="1" si="10"/>
        <v/>
      </c>
      <c r="C359" s="21" t="str">
        <f t="shared" ca="1" si="11"/>
        <v/>
      </c>
    </row>
    <row r="360" spans="1:3" x14ac:dyDescent="0.25">
      <c r="A360" s="8">
        <v>359</v>
      </c>
      <c r="B360" s="8" t="str">
        <f t="shared" ca="1" si="10"/>
        <v/>
      </c>
      <c r="C360" s="21" t="str">
        <f t="shared" ca="1" si="11"/>
        <v/>
      </c>
    </row>
    <row r="361" spans="1:3" x14ac:dyDescent="0.25">
      <c r="A361" s="8">
        <v>360</v>
      </c>
      <c r="B361" s="8" t="str">
        <f t="shared" ca="1" si="10"/>
        <v/>
      </c>
      <c r="C361" s="21" t="str">
        <f t="shared" ca="1" si="11"/>
        <v/>
      </c>
    </row>
    <row r="362" spans="1:3" x14ac:dyDescent="0.25">
      <c r="A362" s="8">
        <v>361</v>
      </c>
      <c r="B362" s="8" t="str">
        <f t="shared" ca="1" si="10"/>
        <v/>
      </c>
      <c r="C362" s="21" t="str">
        <f t="shared" ca="1" si="11"/>
        <v/>
      </c>
    </row>
    <row r="363" spans="1:3" x14ac:dyDescent="0.25">
      <c r="A363" s="8">
        <v>362</v>
      </c>
      <c r="B363" s="8" t="str">
        <f t="shared" ca="1" si="10"/>
        <v/>
      </c>
      <c r="C363" s="21" t="str">
        <f t="shared" ca="1" si="11"/>
        <v/>
      </c>
    </row>
    <row r="364" spans="1:3" x14ac:dyDescent="0.25">
      <c r="A364" s="8">
        <v>363</v>
      </c>
      <c r="B364" s="8" t="str">
        <f t="shared" ca="1" si="10"/>
        <v/>
      </c>
      <c r="C364" s="21" t="str">
        <f t="shared" ca="1" si="11"/>
        <v/>
      </c>
    </row>
    <row r="365" spans="1:3" x14ac:dyDescent="0.25">
      <c r="A365" s="8">
        <v>364</v>
      </c>
      <c r="B365" s="8" t="str">
        <f t="shared" ca="1" si="10"/>
        <v/>
      </c>
      <c r="C365" s="21" t="str">
        <f t="shared" ca="1" si="11"/>
        <v/>
      </c>
    </row>
    <row r="366" spans="1:3" x14ac:dyDescent="0.25">
      <c r="A366" s="8">
        <v>365</v>
      </c>
      <c r="B366" s="8" t="str">
        <f t="shared" ca="1" si="10"/>
        <v/>
      </c>
      <c r="C366" s="21" t="str">
        <f t="shared" ca="1" si="11"/>
        <v/>
      </c>
    </row>
    <row r="367" spans="1:3" x14ac:dyDescent="0.25">
      <c r="A367" s="8">
        <v>366</v>
      </c>
      <c r="B367" s="8" t="str">
        <f t="shared" ca="1" si="10"/>
        <v/>
      </c>
      <c r="C367" s="21" t="str">
        <f t="shared" ca="1" si="11"/>
        <v/>
      </c>
    </row>
    <row r="368" spans="1:3" x14ac:dyDescent="0.25">
      <c r="A368" s="8">
        <v>367</v>
      </c>
      <c r="B368" s="8" t="str">
        <f t="shared" ca="1" si="10"/>
        <v/>
      </c>
      <c r="C368" s="21" t="str">
        <f t="shared" ca="1" si="11"/>
        <v/>
      </c>
    </row>
    <row r="369" spans="1:3" x14ac:dyDescent="0.25">
      <c r="A369" s="8">
        <v>368</v>
      </c>
      <c r="B369" s="8" t="str">
        <f t="shared" ca="1" si="10"/>
        <v/>
      </c>
      <c r="C369" s="21" t="str">
        <f t="shared" ca="1" si="11"/>
        <v/>
      </c>
    </row>
    <row r="370" spans="1:3" x14ac:dyDescent="0.25">
      <c r="A370" s="8">
        <v>369</v>
      </c>
      <c r="B370" s="8" t="str">
        <f t="shared" ca="1" si="10"/>
        <v/>
      </c>
      <c r="C370" s="21" t="str">
        <f t="shared" ca="1" si="11"/>
        <v/>
      </c>
    </row>
    <row r="371" spans="1:3" x14ac:dyDescent="0.25">
      <c r="A371" s="8">
        <v>370</v>
      </c>
      <c r="B371" s="8" t="str">
        <f t="shared" ca="1" si="10"/>
        <v/>
      </c>
      <c r="C371" s="21" t="str">
        <f t="shared" ca="1" si="11"/>
        <v/>
      </c>
    </row>
    <row r="372" spans="1:3" x14ac:dyDescent="0.25">
      <c r="A372" s="8">
        <v>371</v>
      </c>
      <c r="B372" s="8" t="str">
        <f t="shared" ca="1" si="10"/>
        <v/>
      </c>
      <c r="C372" s="21" t="str">
        <f t="shared" ca="1" si="11"/>
        <v/>
      </c>
    </row>
    <row r="373" spans="1:3" x14ac:dyDescent="0.25">
      <c r="A373" s="8">
        <v>372</v>
      </c>
      <c r="B373" s="8" t="str">
        <f t="shared" ca="1" si="10"/>
        <v/>
      </c>
      <c r="C373" s="21" t="str">
        <f t="shared" ca="1" si="11"/>
        <v/>
      </c>
    </row>
    <row r="374" spans="1:3" x14ac:dyDescent="0.25">
      <c r="A374" s="8">
        <v>373</v>
      </c>
      <c r="B374" s="8" t="str">
        <f t="shared" ca="1" si="10"/>
        <v/>
      </c>
      <c r="C374" s="21" t="str">
        <f t="shared" ca="1" si="11"/>
        <v/>
      </c>
    </row>
    <row r="375" spans="1:3" x14ac:dyDescent="0.25">
      <c r="A375" s="8">
        <v>374</v>
      </c>
      <c r="B375" s="8" t="str">
        <f t="shared" ca="1" si="10"/>
        <v/>
      </c>
      <c r="C375" s="21" t="str">
        <f t="shared" ca="1" si="11"/>
        <v/>
      </c>
    </row>
    <row r="376" spans="1:3" x14ac:dyDescent="0.25">
      <c r="A376" s="8">
        <v>375</v>
      </c>
      <c r="B376" s="8" t="str">
        <f t="shared" ca="1" si="10"/>
        <v/>
      </c>
      <c r="C376" s="21" t="str">
        <f t="shared" ca="1" si="11"/>
        <v/>
      </c>
    </row>
    <row r="377" spans="1:3" x14ac:dyDescent="0.25">
      <c r="A377" s="8">
        <v>376</v>
      </c>
      <c r="B377" s="8" t="str">
        <f t="shared" ca="1" si="10"/>
        <v/>
      </c>
      <c r="C377" s="21" t="str">
        <f t="shared" ca="1" si="11"/>
        <v/>
      </c>
    </row>
    <row r="378" spans="1:3" x14ac:dyDescent="0.25">
      <c r="A378" s="8">
        <v>377</v>
      </c>
      <c r="B378" s="8" t="str">
        <f t="shared" ca="1" si="10"/>
        <v/>
      </c>
      <c r="C378" s="21" t="str">
        <f t="shared" ca="1" si="11"/>
        <v/>
      </c>
    </row>
    <row r="379" spans="1:3" x14ac:dyDescent="0.25">
      <c r="A379" s="8">
        <v>378</v>
      </c>
      <c r="B379" s="8" t="str">
        <f t="shared" ca="1" si="10"/>
        <v/>
      </c>
      <c r="C379" s="21" t="str">
        <f t="shared" ca="1" si="11"/>
        <v/>
      </c>
    </row>
    <row r="380" spans="1:3" x14ac:dyDescent="0.25">
      <c r="A380" s="8">
        <v>379</v>
      </c>
      <c r="B380" s="8" t="str">
        <f t="shared" ca="1" si="10"/>
        <v/>
      </c>
      <c r="C380" s="21" t="str">
        <f t="shared" ca="1" si="11"/>
        <v/>
      </c>
    </row>
    <row r="381" spans="1:3" x14ac:dyDescent="0.25">
      <c r="A381" s="8">
        <v>380</v>
      </c>
      <c r="B381" s="8" t="str">
        <f t="shared" ca="1" si="10"/>
        <v/>
      </c>
      <c r="C381" s="21" t="str">
        <f t="shared" ca="1" si="11"/>
        <v/>
      </c>
    </row>
    <row r="382" spans="1:3" x14ac:dyDescent="0.25">
      <c r="A382" s="8">
        <v>381</v>
      </c>
      <c r="B382" s="8" t="str">
        <f t="shared" ca="1" si="10"/>
        <v/>
      </c>
      <c r="C382" s="21" t="str">
        <f t="shared" ca="1" si="11"/>
        <v/>
      </c>
    </row>
    <row r="383" spans="1:3" x14ac:dyDescent="0.25">
      <c r="A383" s="8">
        <v>382</v>
      </c>
      <c r="B383" s="8" t="str">
        <f t="shared" ca="1" si="10"/>
        <v/>
      </c>
      <c r="C383" s="21" t="str">
        <f t="shared" ca="1" si="11"/>
        <v/>
      </c>
    </row>
    <row r="384" spans="1:3" x14ac:dyDescent="0.25">
      <c r="A384" s="8">
        <v>383</v>
      </c>
      <c r="B384" s="8" t="str">
        <f t="shared" ca="1" si="10"/>
        <v/>
      </c>
      <c r="C384" s="21" t="str">
        <f t="shared" ca="1" si="11"/>
        <v/>
      </c>
    </row>
    <row r="385" spans="1:3" x14ac:dyDescent="0.25">
      <c r="A385" s="8">
        <v>384</v>
      </c>
      <c r="B385" s="8" t="str">
        <f t="shared" ca="1" si="10"/>
        <v/>
      </c>
      <c r="C385" s="21" t="str">
        <f t="shared" ca="1" si="11"/>
        <v/>
      </c>
    </row>
    <row r="386" spans="1:3" x14ac:dyDescent="0.25">
      <c r="A386" s="8">
        <v>385</v>
      </c>
      <c r="B386" s="8" t="str">
        <f t="shared" ref="B386:B448" ca="1" si="12">IFERROR(INDEX(MasterDwgNumber,A386,3),"")</f>
        <v/>
      </c>
      <c r="C386" s="21" t="str">
        <f t="shared" ref="C386:C448" ca="1" si="13">IFERROR(INDEX(MasterDwgNumber,A386,1),"")</f>
        <v/>
      </c>
    </row>
    <row r="387" spans="1:3" x14ac:dyDescent="0.25">
      <c r="A387" s="8">
        <v>386</v>
      </c>
      <c r="B387" s="8" t="str">
        <f t="shared" ca="1" si="12"/>
        <v/>
      </c>
      <c r="C387" s="21" t="str">
        <f t="shared" ca="1" si="13"/>
        <v/>
      </c>
    </row>
    <row r="388" spans="1:3" x14ac:dyDescent="0.25">
      <c r="A388" s="8">
        <v>387</v>
      </c>
      <c r="B388" s="8" t="str">
        <f t="shared" ca="1" si="12"/>
        <v/>
      </c>
      <c r="C388" s="21" t="str">
        <f t="shared" ca="1" si="13"/>
        <v/>
      </c>
    </row>
    <row r="389" spans="1:3" x14ac:dyDescent="0.25">
      <c r="A389" s="8">
        <v>388</v>
      </c>
      <c r="B389" s="8" t="str">
        <f t="shared" ca="1" si="12"/>
        <v/>
      </c>
      <c r="C389" s="21" t="str">
        <f t="shared" ca="1" si="13"/>
        <v/>
      </c>
    </row>
    <row r="390" spans="1:3" x14ac:dyDescent="0.25">
      <c r="A390" s="8">
        <v>389</v>
      </c>
      <c r="B390" s="8" t="str">
        <f t="shared" ca="1" si="12"/>
        <v/>
      </c>
      <c r="C390" s="21" t="str">
        <f t="shared" ca="1" si="13"/>
        <v/>
      </c>
    </row>
    <row r="391" spans="1:3" x14ac:dyDescent="0.25">
      <c r="A391" s="8">
        <v>390</v>
      </c>
      <c r="B391" s="8" t="str">
        <f t="shared" ca="1" si="12"/>
        <v/>
      </c>
      <c r="C391" s="21" t="str">
        <f t="shared" ca="1" si="13"/>
        <v/>
      </c>
    </row>
    <row r="392" spans="1:3" x14ac:dyDescent="0.25">
      <c r="A392" s="8">
        <v>391</v>
      </c>
      <c r="B392" s="8" t="str">
        <f t="shared" ca="1" si="12"/>
        <v/>
      </c>
      <c r="C392" s="21" t="str">
        <f t="shared" ca="1" si="13"/>
        <v/>
      </c>
    </row>
    <row r="393" spans="1:3" x14ac:dyDescent="0.25">
      <c r="A393" s="8">
        <v>392</v>
      </c>
      <c r="B393" s="8" t="str">
        <f t="shared" ca="1" si="12"/>
        <v/>
      </c>
      <c r="C393" s="21" t="str">
        <f t="shared" ca="1" si="13"/>
        <v/>
      </c>
    </row>
    <row r="394" spans="1:3" x14ac:dyDescent="0.25">
      <c r="A394" s="8">
        <v>393</v>
      </c>
      <c r="B394" s="8" t="str">
        <f t="shared" ca="1" si="12"/>
        <v/>
      </c>
      <c r="C394" s="21" t="str">
        <f t="shared" ca="1" si="13"/>
        <v/>
      </c>
    </row>
    <row r="395" spans="1:3" x14ac:dyDescent="0.25">
      <c r="A395" s="8">
        <v>394</v>
      </c>
      <c r="B395" s="8" t="str">
        <f t="shared" ca="1" si="12"/>
        <v/>
      </c>
      <c r="C395" s="21" t="str">
        <f t="shared" ca="1" si="13"/>
        <v/>
      </c>
    </row>
    <row r="396" spans="1:3" x14ac:dyDescent="0.25">
      <c r="A396" s="8">
        <v>395</v>
      </c>
      <c r="B396" s="8" t="str">
        <f t="shared" ca="1" si="12"/>
        <v/>
      </c>
      <c r="C396" s="21" t="str">
        <f t="shared" ca="1" si="13"/>
        <v/>
      </c>
    </row>
    <row r="397" spans="1:3" x14ac:dyDescent="0.25">
      <c r="A397" s="8">
        <v>396</v>
      </c>
      <c r="B397" s="8" t="str">
        <f t="shared" ca="1" si="12"/>
        <v/>
      </c>
      <c r="C397" s="21" t="str">
        <f t="shared" ca="1" si="13"/>
        <v/>
      </c>
    </row>
    <row r="398" spans="1:3" x14ac:dyDescent="0.25">
      <c r="A398" s="8">
        <v>397</v>
      </c>
      <c r="B398" s="8" t="str">
        <f t="shared" ca="1" si="12"/>
        <v/>
      </c>
      <c r="C398" s="21" t="str">
        <f t="shared" ca="1" si="13"/>
        <v/>
      </c>
    </row>
    <row r="399" spans="1:3" x14ac:dyDescent="0.25">
      <c r="A399" s="8">
        <v>398</v>
      </c>
      <c r="B399" s="8" t="str">
        <f t="shared" ca="1" si="12"/>
        <v/>
      </c>
      <c r="C399" s="21" t="str">
        <f t="shared" ca="1" si="13"/>
        <v/>
      </c>
    </row>
    <row r="400" spans="1:3" x14ac:dyDescent="0.25">
      <c r="A400" s="8">
        <v>399</v>
      </c>
      <c r="B400" s="8" t="str">
        <f t="shared" ca="1" si="12"/>
        <v/>
      </c>
      <c r="C400" s="21" t="str">
        <f t="shared" ca="1" si="13"/>
        <v/>
      </c>
    </row>
    <row r="401" spans="1:3" x14ac:dyDescent="0.25">
      <c r="A401" s="8">
        <v>400</v>
      </c>
      <c r="B401" s="8" t="str">
        <f t="shared" ca="1" si="12"/>
        <v/>
      </c>
      <c r="C401" s="21" t="str">
        <f t="shared" ca="1" si="13"/>
        <v/>
      </c>
    </row>
    <row r="402" spans="1:3" x14ac:dyDescent="0.25">
      <c r="A402" s="8">
        <v>401</v>
      </c>
      <c r="B402" s="8" t="str">
        <f t="shared" ca="1" si="12"/>
        <v/>
      </c>
      <c r="C402" s="21" t="str">
        <f t="shared" ca="1" si="13"/>
        <v/>
      </c>
    </row>
    <row r="403" spans="1:3" x14ac:dyDescent="0.25">
      <c r="A403" s="8">
        <v>402</v>
      </c>
      <c r="B403" s="8" t="str">
        <f t="shared" ca="1" si="12"/>
        <v/>
      </c>
      <c r="C403" s="21" t="str">
        <f t="shared" ca="1" si="13"/>
        <v/>
      </c>
    </row>
    <row r="404" spans="1:3" x14ac:dyDescent="0.25">
      <c r="A404" s="8">
        <v>403</v>
      </c>
      <c r="B404" s="8" t="str">
        <f t="shared" ca="1" si="12"/>
        <v/>
      </c>
      <c r="C404" s="21" t="str">
        <f t="shared" ca="1" si="13"/>
        <v/>
      </c>
    </row>
    <row r="405" spans="1:3" x14ac:dyDescent="0.25">
      <c r="A405" s="8">
        <v>404</v>
      </c>
      <c r="B405" s="8" t="str">
        <f t="shared" ca="1" si="12"/>
        <v/>
      </c>
      <c r="C405" s="21" t="str">
        <f t="shared" ca="1" si="13"/>
        <v/>
      </c>
    </row>
    <row r="406" spans="1:3" x14ac:dyDescent="0.25">
      <c r="A406" s="8">
        <v>405</v>
      </c>
      <c r="B406" s="8" t="str">
        <f t="shared" ca="1" si="12"/>
        <v/>
      </c>
      <c r="C406" s="21" t="str">
        <f t="shared" ca="1" si="13"/>
        <v/>
      </c>
    </row>
    <row r="407" spans="1:3" x14ac:dyDescent="0.25">
      <c r="A407" s="8">
        <v>406</v>
      </c>
      <c r="B407" s="8" t="str">
        <f t="shared" ca="1" si="12"/>
        <v/>
      </c>
      <c r="C407" s="21" t="str">
        <f t="shared" ca="1" si="13"/>
        <v/>
      </c>
    </row>
    <row r="408" spans="1:3" x14ac:dyDescent="0.25">
      <c r="A408" s="8">
        <v>407</v>
      </c>
      <c r="B408" s="8" t="str">
        <f t="shared" ca="1" si="12"/>
        <v/>
      </c>
      <c r="C408" s="21" t="str">
        <f t="shared" ca="1" si="13"/>
        <v/>
      </c>
    </row>
    <row r="409" spans="1:3" x14ac:dyDescent="0.25">
      <c r="A409" s="8">
        <v>408</v>
      </c>
      <c r="B409" s="8" t="str">
        <f t="shared" ca="1" si="12"/>
        <v/>
      </c>
      <c r="C409" s="21" t="str">
        <f t="shared" ca="1" si="13"/>
        <v/>
      </c>
    </row>
    <row r="410" spans="1:3" x14ac:dyDescent="0.25">
      <c r="A410" s="8">
        <v>409</v>
      </c>
      <c r="B410" s="8" t="str">
        <f t="shared" ca="1" si="12"/>
        <v/>
      </c>
      <c r="C410" s="21" t="str">
        <f t="shared" ca="1" si="13"/>
        <v/>
      </c>
    </row>
    <row r="411" spans="1:3" x14ac:dyDescent="0.25">
      <c r="A411" s="8">
        <v>410</v>
      </c>
      <c r="B411" s="8" t="str">
        <f t="shared" ca="1" si="12"/>
        <v/>
      </c>
      <c r="C411" s="21" t="str">
        <f t="shared" ca="1" si="13"/>
        <v/>
      </c>
    </row>
    <row r="412" spans="1:3" x14ac:dyDescent="0.25">
      <c r="A412" s="8">
        <v>411</v>
      </c>
      <c r="B412" s="8" t="str">
        <f t="shared" ca="1" si="12"/>
        <v/>
      </c>
      <c r="C412" s="21" t="str">
        <f t="shared" ca="1" si="13"/>
        <v/>
      </c>
    </row>
    <row r="413" spans="1:3" x14ac:dyDescent="0.25">
      <c r="A413" s="8">
        <v>412</v>
      </c>
      <c r="B413" s="8" t="str">
        <f t="shared" ca="1" si="12"/>
        <v/>
      </c>
      <c r="C413" s="21" t="str">
        <f t="shared" ca="1" si="13"/>
        <v/>
      </c>
    </row>
    <row r="414" spans="1:3" x14ac:dyDescent="0.25">
      <c r="A414" s="8">
        <v>413</v>
      </c>
      <c r="B414" s="8" t="str">
        <f t="shared" ca="1" si="12"/>
        <v/>
      </c>
      <c r="C414" s="21" t="str">
        <f t="shared" ca="1" si="13"/>
        <v/>
      </c>
    </row>
    <row r="415" spans="1:3" x14ac:dyDescent="0.25">
      <c r="A415" s="8">
        <v>414</v>
      </c>
      <c r="B415" s="8" t="str">
        <f t="shared" ca="1" si="12"/>
        <v/>
      </c>
      <c r="C415" s="21" t="str">
        <f t="shared" ca="1" si="13"/>
        <v/>
      </c>
    </row>
    <row r="416" spans="1:3" x14ac:dyDescent="0.25">
      <c r="A416" s="8">
        <v>415</v>
      </c>
      <c r="B416" s="8" t="str">
        <f t="shared" ca="1" si="12"/>
        <v/>
      </c>
      <c r="C416" s="21" t="str">
        <f t="shared" ca="1" si="13"/>
        <v/>
      </c>
    </row>
    <row r="417" spans="1:3" x14ac:dyDescent="0.25">
      <c r="A417" s="8">
        <v>416</v>
      </c>
      <c r="B417" s="8" t="str">
        <f t="shared" ca="1" si="12"/>
        <v/>
      </c>
      <c r="C417" s="21" t="str">
        <f t="shared" ca="1" si="13"/>
        <v/>
      </c>
    </row>
    <row r="418" spans="1:3" x14ac:dyDescent="0.25">
      <c r="A418" s="8">
        <v>417</v>
      </c>
      <c r="B418" s="8" t="str">
        <f t="shared" ca="1" si="12"/>
        <v/>
      </c>
      <c r="C418" s="21" t="str">
        <f t="shared" ca="1" si="13"/>
        <v/>
      </c>
    </row>
    <row r="419" spans="1:3" x14ac:dyDescent="0.25">
      <c r="A419" s="8">
        <v>418</v>
      </c>
      <c r="B419" s="8" t="str">
        <f t="shared" ca="1" si="12"/>
        <v/>
      </c>
      <c r="C419" s="21" t="str">
        <f t="shared" ca="1" si="13"/>
        <v/>
      </c>
    </row>
    <row r="420" spans="1:3" x14ac:dyDescent="0.25">
      <c r="A420" s="8">
        <v>419</v>
      </c>
      <c r="B420" s="8" t="str">
        <f t="shared" ca="1" si="12"/>
        <v/>
      </c>
      <c r="C420" s="21" t="str">
        <f t="shared" ca="1" si="13"/>
        <v/>
      </c>
    </row>
    <row r="421" spans="1:3" x14ac:dyDescent="0.25">
      <c r="A421" s="8">
        <v>420</v>
      </c>
      <c r="B421" s="8" t="str">
        <f t="shared" ca="1" si="12"/>
        <v/>
      </c>
      <c r="C421" s="21" t="str">
        <f t="shared" ca="1" si="13"/>
        <v/>
      </c>
    </row>
    <row r="422" spans="1:3" x14ac:dyDescent="0.25">
      <c r="A422" s="8">
        <v>421</v>
      </c>
      <c r="B422" s="8" t="str">
        <f t="shared" ca="1" si="12"/>
        <v/>
      </c>
      <c r="C422" s="21" t="str">
        <f t="shared" ca="1" si="13"/>
        <v/>
      </c>
    </row>
    <row r="423" spans="1:3" x14ac:dyDescent="0.25">
      <c r="A423" s="8">
        <v>422</v>
      </c>
      <c r="B423" s="8" t="str">
        <f t="shared" ca="1" si="12"/>
        <v/>
      </c>
      <c r="C423" s="21" t="str">
        <f t="shared" ca="1" si="13"/>
        <v/>
      </c>
    </row>
    <row r="424" spans="1:3" x14ac:dyDescent="0.25">
      <c r="A424" s="8">
        <v>423</v>
      </c>
      <c r="B424" s="8" t="str">
        <f t="shared" ca="1" si="12"/>
        <v/>
      </c>
      <c r="C424" s="21" t="str">
        <f t="shared" ca="1" si="13"/>
        <v/>
      </c>
    </row>
    <row r="425" spans="1:3" x14ac:dyDescent="0.25">
      <c r="A425" s="8">
        <v>424</v>
      </c>
      <c r="B425" s="8" t="str">
        <f t="shared" ca="1" si="12"/>
        <v/>
      </c>
      <c r="C425" s="21" t="str">
        <f t="shared" ca="1" si="13"/>
        <v/>
      </c>
    </row>
    <row r="426" spans="1:3" x14ac:dyDescent="0.25">
      <c r="A426" s="8">
        <v>425</v>
      </c>
      <c r="B426" s="8" t="str">
        <f t="shared" ca="1" si="12"/>
        <v/>
      </c>
      <c r="C426" s="21" t="str">
        <f t="shared" ca="1" si="13"/>
        <v/>
      </c>
    </row>
    <row r="427" spans="1:3" x14ac:dyDescent="0.25">
      <c r="A427" s="8">
        <v>426</v>
      </c>
      <c r="B427" s="8" t="str">
        <f t="shared" ca="1" si="12"/>
        <v/>
      </c>
      <c r="C427" s="21" t="str">
        <f t="shared" ca="1" si="13"/>
        <v/>
      </c>
    </row>
    <row r="428" spans="1:3" x14ac:dyDescent="0.25">
      <c r="A428" s="8">
        <v>427</v>
      </c>
      <c r="B428" s="8" t="str">
        <f t="shared" ca="1" si="12"/>
        <v/>
      </c>
      <c r="C428" s="21" t="str">
        <f t="shared" ca="1" si="13"/>
        <v/>
      </c>
    </row>
    <row r="429" spans="1:3" x14ac:dyDescent="0.25">
      <c r="A429" s="8">
        <v>428</v>
      </c>
      <c r="B429" s="8" t="str">
        <f t="shared" ca="1" si="12"/>
        <v/>
      </c>
      <c r="C429" s="21" t="str">
        <f t="shared" ca="1" si="13"/>
        <v/>
      </c>
    </row>
    <row r="430" spans="1:3" x14ac:dyDescent="0.25">
      <c r="A430" s="8">
        <v>429</v>
      </c>
      <c r="B430" s="8" t="str">
        <f t="shared" ca="1" si="12"/>
        <v/>
      </c>
      <c r="C430" s="21" t="str">
        <f t="shared" ca="1" si="13"/>
        <v/>
      </c>
    </row>
    <row r="431" spans="1:3" x14ac:dyDescent="0.25">
      <c r="A431" s="8">
        <v>430</v>
      </c>
      <c r="B431" s="8" t="str">
        <f t="shared" ca="1" si="12"/>
        <v/>
      </c>
      <c r="C431" s="21" t="str">
        <f t="shared" ca="1" si="13"/>
        <v/>
      </c>
    </row>
    <row r="432" spans="1:3" x14ac:dyDescent="0.25">
      <c r="A432" s="8">
        <v>431</v>
      </c>
      <c r="B432" s="8" t="str">
        <f t="shared" ca="1" si="12"/>
        <v/>
      </c>
      <c r="C432" s="21" t="str">
        <f t="shared" ca="1" si="13"/>
        <v/>
      </c>
    </row>
    <row r="433" spans="1:3" x14ac:dyDescent="0.25">
      <c r="A433" s="8">
        <v>432</v>
      </c>
      <c r="B433" s="8" t="str">
        <f t="shared" ca="1" si="12"/>
        <v/>
      </c>
      <c r="C433" s="21" t="str">
        <f t="shared" ca="1" si="13"/>
        <v/>
      </c>
    </row>
    <row r="434" spans="1:3" x14ac:dyDescent="0.25">
      <c r="A434" s="8">
        <v>433</v>
      </c>
      <c r="B434" s="8" t="str">
        <f t="shared" ca="1" si="12"/>
        <v/>
      </c>
      <c r="C434" s="21" t="str">
        <f t="shared" ca="1" si="13"/>
        <v/>
      </c>
    </row>
    <row r="435" spans="1:3" x14ac:dyDescent="0.25">
      <c r="A435" s="8">
        <v>434</v>
      </c>
      <c r="B435" s="8" t="str">
        <f t="shared" ca="1" si="12"/>
        <v/>
      </c>
      <c r="C435" s="21" t="str">
        <f t="shared" ca="1" si="13"/>
        <v/>
      </c>
    </row>
    <row r="436" spans="1:3" x14ac:dyDescent="0.25">
      <c r="A436" s="8">
        <v>435</v>
      </c>
      <c r="B436" s="8" t="str">
        <f t="shared" ca="1" si="12"/>
        <v/>
      </c>
      <c r="C436" s="21" t="str">
        <f t="shared" ca="1" si="13"/>
        <v/>
      </c>
    </row>
    <row r="437" spans="1:3" x14ac:dyDescent="0.25">
      <c r="A437" s="8">
        <v>436</v>
      </c>
      <c r="B437" s="8" t="str">
        <f t="shared" ca="1" si="12"/>
        <v/>
      </c>
      <c r="C437" s="21" t="str">
        <f t="shared" ca="1" si="13"/>
        <v/>
      </c>
    </row>
    <row r="438" spans="1:3" x14ac:dyDescent="0.25">
      <c r="A438" s="8">
        <v>437</v>
      </c>
      <c r="B438" s="8" t="str">
        <f t="shared" ca="1" si="12"/>
        <v/>
      </c>
      <c r="C438" s="21" t="str">
        <f t="shared" ca="1" si="13"/>
        <v/>
      </c>
    </row>
    <row r="439" spans="1:3" x14ac:dyDescent="0.25">
      <c r="A439" s="8">
        <v>438</v>
      </c>
      <c r="B439" s="8" t="str">
        <f t="shared" ca="1" si="12"/>
        <v/>
      </c>
      <c r="C439" s="21" t="str">
        <f t="shared" ca="1" si="13"/>
        <v/>
      </c>
    </row>
    <row r="440" spans="1:3" x14ac:dyDescent="0.25">
      <c r="A440" s="8">
        <v>439</v>
      </c>
      <c r="B440" s="8" t="str">
        <f t="shared" ca="1" si="12"/>
        <v/>
      </c>
      <c r="C440" s="21" t="str">
        <f t="shared" ca="1" si="13"/>
        <v/>
      </c>
    </row>
    <row r="441" spans="1:3" x14ac:dyDescent="0.25">
      <c r="A441" s="8">
        <v>440</v>
      </c>
      <c r="B441" s="8" t="str">
        <f t="shared" ca="1" si="12"/>
        <v/>
      </c>
      <c r="C441" s="21" t="str">
        <f t="shared" ca="1" si="13"/>
        <v/>
      </c>
    </row>
    <row r="442" spans="1:3" x14ac:dyDescent="0.25">
      <c r="A442" s="8">
        <v>441</v>
      </c>
      <c r="B442" s="8" t="str">
        <f t="shared" ca="1" si="12"/>
        <v/>
      </c>
      <c r="C442" s="21" t="str">
        <f t="shared" ca="1" si="13"/>
        <v/>
      </c>
    </row>
    <row r="443" spans="1:3" x14ac:dyDescent="0.25">
      <c r="A443" s="8">
        <v>442</v>
      </c>
      <c r="B443" s="8" t="str">
        <f t="shared" ca="1" si="12"/>
        <v/>
      </c>
      <c r="C443" s="21" t="str">
        <f t="shared" ca="1" si="13"/>
        <v/>
      </c>
    </row>
    <row r="444" spans="1:3" x14ac:dyDescent="0.25">
      <c r="A444" s="8">
        <v>443</v>
      </c>
      <c r="B444" s="8" t="str">
        <f t="shared" ca="1" si="12"/>
        <v/>
      </c>
      <c r="C444" s="21" t="str">
        <f t="shared" ca="1" si="13"/>
        <v/>
      </c>
    </row>
    <row r="445" spans="1:3" x14ac:dyDescent="0.25">
      <c r="A445" s="8">
        <v>444</v>
      </c>
      <c r="B445" s="8" t="str">
        <f t="shared" ca="1" si="12"/>
        <v/>
      </c>
      <c r="C445" s="21" t="str">
        <f t="shared" ca="1" si="13"/>
        <v/>
      </c>
    </row>
    <row r="446" spans="1:3" x14ac:dyDescent="0.25">
      <c r="A446" s="8">
        <v>445</v>
      </c>
      <c r="B446" s="8" t="str">
        <f t="shared" ca="1" si="12"/>
        <v/>
      </c>
      <c r="C446" s="21" t="str">
        <f t="shared" ca="1" si="13"/>
        <v/>
      </c>
    </row>
    <row r="447" spans="1:3" x14ac:dyDescent="0.25">
      <c r="A447" s="8">
        <v>446</v>
      </c>
      <c r="B447" s="8" t="str">
        <f t="shared" ca="1" si="12"/>
        <v/>
      </c>
      <c r="C447" s="21" t="str">
        <f t="shared" ca="1" si="13"/>
        <v/>
      </c>
    </row>
    <row r="448" spans="1:3" x14ac:dyDescent="0.25">
      <c r="A448" s="8">
        <v>447</v>
      </c>
      <c r="B448" s="8" t="str">
        <f t="shared" ca="1" si="12"/>
        <v/>
      </c>
      <c r="C448" s="21" t="str">
        <f t="shared" ca="1" si="13"/>
        <v/>
      </c>
    </row>
    <row r="449" spans="1:3" x14ac:dyDescent="0.25">
      <c r="A449" s="8">
        <v>448</v>
      </c>
      <c r="B449" s="8">
        <v>0</v>
      </c>
      <c r="C449" s="1">
        <v>0</v>
      </c>
    </row>
    <row r="450" spans="1:3" x14ac:dyDescent="0.25">
      <c r="A450" s="8">
        <v>449</v>
      </c>
      <c r="B450" s="8">
        <v>0</v>
      </c>
      <c r="C450" s="1">
        <v>0</v>
      </c>
    </row>
    <row r="451" spans="1:3" x14ac:dyDescent="0.25">
      <c r="A451" s="8">
        <v>450</v>
      </c>
      <c r="B451" s="8">
        <v>0</v>
      </c>
      <c r="C451" s="1">
        <v>0</v>
      </c>
    </row>
    <row r="452" spans="1:3" x14ac:dyDescent="0.25">
      <c r="A452" s="8">
        <v>451</v>
      </c>
      <c r="B452" s="8">
        <v>0</v>
      </c>
      <c r="C452" s="1">
        <v>0</v>
      </c>
    </row>
    <row r="453" spans="1:3" x14ac:dyDescent="0.25">
      <c r="A453" s="8">
        <v>452</v>
      </c>
      <c r="B453" s="8">
        <v>0</v>
      </c>
      <c r="C453" s="1">
        <v>0</v>
      </c>
    </row>
    <row r="454" spans="1:3" x14ac:dyDescent="0.25">
      <c r="A454" s="8">
        <v>453</v>
      </c>
      <c r="B454" s="8">
        <v>0</v>
      </c>
      <c r="C454" s="1">
        <v>0</v>
      </c>
    </row>
    <row r="455" spans="1:3" x14ac:dyDescent="0.25">
      <c r="A455" s="8">
        <v>454</v>
      </c>
      <c r="B455" s="8">
        <v>0</v>
      </c>
      <c r="C455" s="1">
        <v>0</v>
      </c>
    </row>
    <row r="456" spans="1:3" x14ac:dyDescent="0.25">
      <c r="A456" s="8">
        <v>455</v>
      </c>
      <c r="B456" s="8">
        <v>0</v>
      </c>
      <c r="C456" s="1">
        <v>0</v>
      </c>
    </row>
    <row r="457" spans="1:3" x14ac:dyDescent="0.25">
      <c r="A457" s="8">
        <v>456</v>
      </c>
      <c r="B457" s="8">
        <v>0</v>
      </c>
      <c r="C457" s="1">
        <v>0</v>
      </c>
    </row>
    <row r="458" spans="1:3" x14ac:dyDescent="0.25">
      <c r="A458" s="8">
        <v>457</v>
      </c>
      <c r="B458" s="8">
        <v>0</v>
      </c>
      <c r="C458" s="1">
        <v>0</v>
      </c>
    </row>
    <row r="459" spans="1:3" x14ac:dyDescent="0.25">
      <c r="A459" s="8">
        <v>458</v>
      </c>
      <c r="B459" s="8">
        <v>0</v>
      </c>
      <c r="C459" s="1">
        <v>0</v>
      </c>
    </row>
    <row r="460" spans="1:3" x14ac:dyDescent="0.25">
      <c r="A460" s="8">
        <v>459</v>
      </c>
      <c r="B460" s="8">
        <v>0</v>
      </c>
      <c r="C460" s="1">
        <v>0</v>
      </c>
    </row>
    <row r="461" spans="1:3" x14ac:dyDescent="0.25">
      <c r="A461" s="8">
        <v>460</v>
      </c>
      <c r="B461" s="8">
        <v>0</v>
      </c>
      <c r="C461" s="1">
        <v>0</v>
      </c>
    </row>
    <row r="462" spans="1:3" x14ac:dyDescent="0.25">
      <c r="A462" s="8">
        <v>461</v>
      </c>
      <c r="B462" s="8">
        <v>0</v>
      </c>
      <c r="C462" s="1">
        <v>0</v>
      </c>
    </row>
    <row r="463" spans="1:3" x14ac:dyDescent="0.25">
      <c r="A463" s="8">
        <v>462</v>
      </c>
      <c r="B463" s="8">
        <v>0</v>
      </c>
      <c r="C463" s="1">
        <v>0</v>
      </c>
    </row>
    <row r="464" spans="1:3" x14ac:dyDescent="0.25">
      <c r="A464" s="8">
        <v>463</v>
      </c>
      <c r="B464" s="8">
        <v>0</v>
      </c>
      <c r="C464" s="1">
        <v>0</v>
      </c>
    </row>
    <row r="465" spans="1:3" x14ac:dyDescent="0.25">
      <c r="A465" s="8">
        <v>464</v>
      </c>
      <c r="B465" s="8">
        <v>0</v>
      </c>
      <c r="C465" s="1">
        <v>0</v>
      </c>
    </row>
    <row r="466" spans="1:3" x14ac:dyDescent="0.25">
      <c r="A466" s="8">
        <v>465</v>
      </c>
      <c r="B466" s="8">
        <v>0</v>
      </c>
      <c r="C466" s="1">
        <v>0</v>
      </c>
    </row>
    <row r="467" spans="1:3" x14ac:dyDescent="0.25">
      <c r="A467" s="8">
        <v>466</v>
      </c>
      <c r="B467" s="8">
        <v>0</v>
      </c>
      <c r="C467" s="1">
        <v>0</v>
      </c>
    </row>
    <row r="468" spans="1:3" x14ac:dyDescent="0.25">
      <c r="A468" s="8">
        <v>467</v>
      </c>
      <c r="B468" s="8">
        <v>0</v>
      </c>
      <c r="C468" s="1">
        <v>0</v>
      </c>
    </row>
    <row r="469" spans="1:3" x14ac:dyDescent="0.25">
      <c r="A469" s="8">
        <v>468</v>
      </c>
      <c r="B469" s="8">
        <v>0</v>
      </c>
      <c r="C469" s="1">
        <v>0</v>
      </c>
    </row>
    <row r="470" spans="1:3" x14ac:dyDescent="0.25">
      <c r="A470" s="8">
        <v>469</v>
      </c>
      <c r="B470" s="8">
        <v>0</v>
      </c>
      <c r="C470" s="1">
        <v>0</v>
      </c>
    </row>
    <row r="471" spans="1:3" x14ac:dyDescent="0.25">
      <c r="A471" s="8">
        <v>470</v>
      </c>
      <c r="B471" s="8">
        <v>0</v>
      </c>
      <c r="C471" s="1">
        <v>0</v>
      </c>
    </row>
    <row r="472" spans="1:3" x14ac:dyDescent="0.25">
      <c r="A472" s="8">
        <v>471</v>
      </c>
      <c r="B472" s="8">
        <v>0</v>
      </c>
      <c r="C472" s="1">
        <v>0</v>
      </c>
    </row>
    <row r="473" spans="1:3" x14ac:dyDescent="0.25">
      <c r="A473" s="8">
        <v>472</v>
      </c>
      <c r="B473" s="8">
        <v>0</v>
      </c>
      <c r="C473" s="1">
        <v>0</v>
      </c>
    </row>
    <row r="474" spans="1:3" x14ac:dyDescent="0.25">
      <c r="A474" s="8">
        <v>473</v>
      </c>
      <c r="B474" s="8">
        <v>0</v>
      </c>
      <c r="C474" s="1">
        <v>0</v>
      </c>
    </row>
    <row r="475" spans="1:3" x14ac:dyDescent="0.25">
      <c r="A475" s="8">
        <v>474</v>
      </c>
      <c r="B475" s="8">
        <v>0</v>
      </c>
      <c r="C475" s="1">
        <v>0</v>
      </c>
    </row>
    <row r="476" spans="1:3" x14ac:dyDescent="0.25">
      <c r="A476" s="8">
        <v>475</v>
      </c>
    </row>
    <row r="477" spans="1:3" x14ac:dyDescent="0.25">
      <c r="A477" s="8">
        <v>476</v>
      </c>
    </row>
    <row r="478" spans="1:3" x14ac:dyDescent="0.25">
      <c r="A478" s="8">
        <v>477</v>
      </c>
    </row>
    <row r="479" spans="1:3" x14ac:dyDescent="0.25">
      <c r="A479" s="8">
        <v>478</v>
      </c>
    </row>
    <row r="480" spans="1:3" x14ac:dyDescent="0.25">
      <c r="A480" s="8">
        <v>479</v>
      </c>
    </row>
    <row r="481" spans="1:1" x14ac:dyDescent="0.25">
      <c r="A481" s="8">
        <v>480</v>
      </c>
    </row>
    <row r="482" spans="1:1" x14ac:dyDescent="0.25">
      <c r="A482" s="8">
        <v>481</v>
      </c>
    </row>
    <row r="483" spans="1:1" x14ac:dyDescent="0.25">
      <c r="A483" s="8">
        <v>482</v>
      </c>
    </row>
    <row r="484" spans="1:1" x14ac:dyDescent="0.25">
      <c r="A484" s="8">
        <v>483</v>
      </c>
    </row>
    <row r="485" spans="1:1" x14ac:dyDescent="0.25">
      <c r="A485" s="8">
        <v>484</v>
      </c>
    </row>
    <row r="486" spans="1:1" x14ac:dyDescent="0.25">
      <c r="A486" s="8">
        <v>485</v>
      </c>
    </row>
    <row r="487" spans="1:1" x14ac:dyDescent="0.25">
      <c r="A487" s="8">
        <v>486</v>
      </c>
    </row>
    <row r="488" spans="1:1" x14ac:dyDescent="0.25">
      <c r="A488" s="8">
        <v>487</v>
      </c>
    </row>
    <row r="489" spans="1:1" x14ac:dyDescent="0.25">
      <c r="A489" s="8">
        <v>488</v>
      </c>
    </row>
    <row r="490" spans="1:1" x14ac:dyDescent="0.25">
      <c r="A490" s="8">
        <v>489</v>
      </c>
    </row>
    <row r="491" spans="1:1" x14ac:dyDescent="0.25">
      <c r="A491" s="8">
        <v>490</v>
      </c>
    </row>
    <row r="492" spans="1:1" x14ac:dyDescent="0.25">
      <c r="A492" s="8">
        <v>491</v>
      </c>
    </row>
    <row r="493" spans="1:1" x14ac:dyDescent="0.25">
      <c r="A493" s="8">
        <v>492</v>
      </c>
    </row>
    <row r="494" spans="1:1" x14ac:dyDescent="0.25">
      <c r="A494" s="8">
        <v>493</v>
      </c>
    </row>
    <row r="495" spans="1:1" x14ac:dyDescent="0.25">
      <c r="A495" s="8">
        <v>494</v>
      </c>
    </row>
    <row r="496" spans="1:1" x14ac:dyDescent="0.25">
      <c r="A496" s="8">
        <v>495</v>
      </c>
    </row>
    <row r="497" spans="1:1" x14ac:dyDescent="0.25">
      <c r="A497" s="8">
        <v>496</v>
      </c>
    </row>
    <row r="498" spans="1:1" x14ac:dyDescent="0.25">
      <c r="A498" s="8">
        <v>497</v>
      </c>
    </row>
    <row r="499" spans="1:1" x14ac:dyDescent="0.25">
      <c r="A499" s="8">
        <v>498</v>
      </c>
    </row>
    <row r="500" spans="1:1" x14ac:dyDescent="0.25">
      <c r="A500" s="8">
        <v>499</v>
      </c>
    </row>
    <row r="501" spans="1:1" x14ac:dyDescent="0.25">
      <c r="A501" s="8">
        <v>500</v>
      </c>
    </row>
    <row r="502" spans="1:1" x14ac:dyDescent="0.25">
      <c r="A502" s="8">
        <v>501</v>
      </c>
    </row>
  </sheetData>
  <sheetProtection sheet="1" objects="1" scenarios="1"/>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W147"/>
  <sheetViews>
    <sheetView topLeftCell="A4" zoomScale="145" zoomScaleNormal="145" workbookViewId="0">
      <selection activeCell="I12" sqref="I12"/>
    </sheetView>
  </sheetViews>
  <sheetFormatPr defaultColWidth="9.140625" defaultRowHeight="12" x14ac:dyDescent="0.2"/>
  <cols>
    <col min="1" max="1" width="8" style="9" customWidth="1"/>
    <col min="2" max="2" width="10.28515625" style="9" customWidth="1"/>
    <col min="3" max="3" width="9" style="9" customWidth="1"/>
    <col min="4" max="5" width="9.140625" style="9"/>
    <col min="6" max="9" width="3.7109375" style="9" customWidth="1"/>
    <col min="10" max="10" width="5.42578125" style="9" customWidth="1"/>
    <col min="11" max="18" width="3.85546875" style="9" customWidth="1"/>
    <col min="19" max="20" width="9.140625" style="9"/>
    <col min="21" max="21" width="10.140625" style="9" customWidth="1"/>
    <col min="22" max="23" width="0" style="9" hidden="1" customWidth="1"/>
    <col min="24" max="16384" width="9.140625" style="9"/>
  </cols>
  <sheetData>
    <row r="1" spans="1:23" ht="10.5" customHeight="1" x14ac:dyDescent="0.3">
      <c r="A1" s="56"/>
      <c r="B1" s="56"/>
      <c r="C1" s="56"/>
      <c r="D1" s="56"/>
      <c r="E1" s="56"/>
      <c r="F1" s="56"/>
      <c r="G1" s="56"/>
      <c r="H1" s="56"/>
      <c r="I1" s="56"/>
      <c r="J1" s="56"/>
      <c r="K1" s="56"/>
      <c r="L1" s="56"/>
      <c r="M1" s="56"/>
      <c r="N1" s="56"/>
      <c r="O1" s="56"/>
      <c r="P1" s="56"/>
      <c r="Q1" s="56"/>
      <c r="R1" s="56"/>
    </row>
    <row r="2" spans="1:23" x14ac:dyDescent="0.2">
      <c r="A2" s="145" t="s">
        <v>4</v>
      </c>
      <c r="B2" s="145" t="s">
        <v>5</v>
      </c>
      <c r="C2" s="10"/>
      <c r="D2" s="10"/>
      <c r="E2" s="10"/>
      <c r="I2" s="157" t="s">
        <v>6</v>
      </c>
      <c r="J2" s="158"/>
      <c r="K2" s="145" t="str">
        <f>project_station</f>
        <v>STATION NAME</v>
      </c>
      <c r="L2" s="144"/>
      <c r="M2" s="144"/>
      <c r="N2" s="144"/>
      <c r="O2" s="144"/>
      <c r="P2" s="144"/>
      <c r="Q2" s="144"/>
      <c r="R2" s="144"/>
      <c r="V2" s="9" t="s">
        <v>15</v>
      </c>
      <c r="W2" s="9" t="s">
        <v>231</v>
      </c>
    </row>
    <row r="3" spans="1:23" x14ac:dyDescent="0.2">
      <c r="B3" s="145" t="s">
        <v>7</v>
      </c>
      <c r="C3" s="10"/>
      <c r="D3" s="10"/>
      <c r="E3" s="10"/>
      <c r="I3" s="147"/>
      <c r="J3" s="147"/>
      <c r="K3" s="163" t="str">
        <f>project_title</f>
        <v>PROJECT DESCRIPTION</v>
      </c>
      <c r="L3" s="143"/>
      <c r="M3" s="143"/>
      <c r="N3" s="143"/>
      <c r="O3" s="143"/>
      <c r="P3" s="143"/>
      <c r="Q3" s="143"/>
      <c r="R3" s="143"/>
      <c r="V3" s="9" t="s">
        <v>16</v>
      </c>
      <c r="W3" s="9" t="s">
        <v>232</v>
      </c>
    </row>
    <row r="4" spans="1:23" x14ac:dyDescent="0.2">
      <c r="B4" s="145" t="s">
        <v>8</v>
      </c>
      <c r="C4" s="10"/>
      <c r="D4" s="10"/>
      <c r="E4" s="10"/>
      <c r="I4" s="157" t="s">
        <v>9</v>
      </c>
      <c r="J4" s="159"/>
      <c r="K4" s="163" t="str">
        <f>UPPER(contact_name)</f>
        <v>JOE ENGINEER</v>
      </c>
      <c r="L4" s="143"/>
      <c r="M4" s="143"/>
      <c r="N4" s="143"/>
      <c r="O4" s="143"/>
      <c r="P4" s="143"/>
      <c r="Q4" s="143"/>
      <c r="R4" s="143"/>
      <c r="V4" s="9" t="s">
        <v>17</v>
      </c>
      <c r="W4" s="9" t="s">
        <v>233</v>
      </c>
    </row>
    <row r="5" spans="1:23" x14ac:dyDescent="0.2">
      <c r="B5" s="145" t="s">
        <v>10</v>
      </c>
      <c r="C5" s="10"/>
      <c r="D5" s="10"/>
      <c r="E5" s="10"/>
      <c r="V5" s="9" t="s">
        <v>18</v>
      </c>
    </row>
    <row r="6" spans="1:23" x14ac:dyDescent="0.2">
      <c r="B6" s="145" t="s">
        <v>11</v>
      </c>
      <c r="C6" s="10"/>
      <c r="D6" s="10"/>
      <c r="E6" s="10"/>
      <c r="I6" s="157" t="s">
        <v>12</v>
      </c>
      <c r="J6" s="158"/>
      <c r="K6" s="164" t="s">
        <v>64</v>
      </c>
      <c r="L6" s="165"/>
      <c r="M6" s="165"/>
      <c r="N6" s="165"/>
      <c r="O6" s="166"/>
      <c r="P6" s="166"/>
      <c r="Q6" s="166"/>
      <c r="R6" s="166"/>
      <c r="V6" s="9" t="s">
        <v>229</v>
      </c>
    </row>
    <row r="7" spans="1:23" x14ac:dyDescent="0.2">
      <c r="B7" s="145" t="str">
        <f>"E-mail:  "&amp;contact_email</f>
        <v>E-mail:  joe@mail.com</v>
      </c>
      <c r="C7" s="10"/>
      <c r="D7" s="10"/>
      <c r="E7" s="12"/>
      <c r="F7" s="12"/>
      <c r="G7" s="12"/>
      <c r="V7" s="9" t="s">
        <v>230</v>
      </c>
    </row>
    <row r="8" spans="1:23" ht="12" customHeight="1" x14ac:dyDescent="0.2">
      <c r="A8" s="13"/>
      <c r="B8" s="13"/>
      <c r="C8" s="13"/>
      <c r="D8" s="13"/>
      <c r="E8" s="13"/>
      <c r="F8" s="13"/>
      <c r="G8" s="13"/>
      <c r="K8" s="478" t="s">
        <v>13</v>
      </c>
      <c r="L8" s="479"/>
      <c r="M8" s="479"/>
      <c r="N8" s="479"/>
      <c r="O8" s="479"/>
      <c r="P8" s="479"/>
      <c r="Q8" s="479"/>
      <c r="R8" s="480"/>
    </row>
    <row r="9" spans="1:23" x14ac:dyDescent="0.2">
      <c r="A9" s="155" t="s">
        <v>14</v>
      </c>
      <c r="B9" s="156"/>
      <c r="C9" s="156"/>
      <c r="D9" s="156"/>
      <c r="E9" s="156"/>
      <c r="F9" s="156"/>
      <c r="G9" s="156"/>
      <c r="H9" s="156"/>
      <c r="I9" s="156"/>
      <c r="J9" s="147"/>
      <c r="K9" s="154" t="s">
        <v>15</v>
      </c>
      <c r="L9" s="154" t="s">
        <v>16</v>
      </c>
      <c r="M9" s="154" t="s">
        <v>17</v>
      </c>
      <c r="N9" s="154" t="s">
        <v>18</v>
      </c>
      <c r="O9" s="154" t="s">
        <v>19</v>
      </c>
      <c r="P9" s="154" t="s">
        <v>20</v>
      </c>
      <c r="Q9" s="154" t="s">
        <v>21</v>
      </c>
      <c r="R9" s="154" t="s">
        <v>22</v>
      </c>
    </row>
    <row r="10" spans="1:23" x14ac:dyDescent="0.2">
      <c r="A10" s="160"/>
      <c r="B10" s="54"/>
      <c r="C10" s="54"/>
      <c r="D10" s="54"/>
      <c r="E10" s="54"/>
      <c r="F10" s="54"/>
      <c r="G10" s="54"/>
      <c r="H10" s="54"/>
      <c r="I10" s="54"/>
      <c r="J10" s="55"/>
      <c r="K10" s="14"/>
      <c r="L10" s="14"/>
      <c r="M10" s="14"/>
      <c r="N10" s="14"/>
      <c r="O10" s="14"/>
      <c r="P10" s="14"/>
      <c r="Q10" s="14"/>
      <c r="R10" s="14"/>
    </row>
    <row r="11" spans="1:23" x14ac:dyDescent="0.2">
      <c r="A11" s="160"/>
      <c r="B11" s="54"/>
      <c r="C11" s="54"/>
      <c r="D11" s="54"/>
      <c r="E11" s="54"/>
      <c r="F11" s="54"/>
      <c r="G11" s="54"/>
      <c r="H11" s="54"/>
      <c r="I11" s="54"/>
      <c r="J11" s="55"/>
      <c r="K11" s="14"/>
      <c r="L11" s="14"/>
      <c r="M11" s="14"/>
      <c r="N11" s="14"/>
      <c r="O11" s="14"/>
      <c r="P11" s="14"/>
      <c r="Q11" s="14"/>
      <c r="R11" s="14"/>
    </row>
    <row r="12" spans="1:23" x14ac:dyDescent="0.2">
      <c r="A12" s="160"/>
      <c r="B12" s="54"/>
      <c r="C12" s="54"/>
      <c r="D12" s="54"/>
      <c r="E12" s="54"/>
      <c r="F12" s="54"/>
      <c r="G12" s="54"/>
      <c r="H12" s="54"/>
      <c r="I12" s="54"/>
      <c r="J12" s="55"/>
      <c r="K12" s="14"/>
      <c r="L12" s="14"/>
      <c r="M12" s="14"/>
      <c r="N12" s="14"/>
      <c r="O12" s="14"/>
      <c r="P12" s="14"/>
      <c r="Q12" s="14"/>
      <c r="R12" s="14"/>
    </row>
    <row r="13" spans="1:23" x14ac:dyDescent="0.2">
      <c r="A13" s="160"/>
      <c r="B13" s="141"/>
      <c r="C13" s="141"/>
      <c r="D13" s="141"/>
      <c r="E13" s="141"/>
      <c r="F13" s="141"/>
      <c r="G13" s="141"/>
      <c r="H13" s="141"/>
      <c r="I13" s="141"/>
      <c r="J13" s="142"/>
      <c r="K13" s="14"/>
      <c r="L13" s="14"/>
      <c r="M13" s="14"/>
      <c r="N13" s="14"/>
      <c r="O13" s="14"/>
      <c r="P13" s="14"/>
      <c r="Q13" s="14"/>
      <c r="R13" s="14"/>
    </row>
    <row r="14" spans="1:23" x14ac:dyDescent="0.2">
      <c r="A14" s="160"/>
      <c r="B14" s="54"/>
      <c r="C14" s="54"/>
      <c r="D14" s="54"/>
      <c r="E14" s="54"/>
      <c r="F14" s="54"/>
      <c r="G14" s="54"/>
      <c r="H14" s="54"/>
      <c r="I14" s="54"/>
      <c r="J14" s="55"/>
      <c r="K14" s="14"/>
      <c r="L14" s="14"/>
      <c r="M14" s="14"/>
      <c r="N14" s="14"/>
      <c r="O14" s="14"/>
      <c r="P14" s="14"/>
      <c r="Q14" s="14"/>
      <c r="R14" s="14"/>
    </row>
    <row r="15" spans="1:23" x14ac:dyDescent="0.2">
      <c r="A15" s="13"/>
      <c r="B15" s="13"/>
      <c r="C15" s="13"/>
      <c r="D15" s="13"/>
      <c r="E15" s="13"/>
      <c r="F15" s="13"/>
      <c r="G15" s="13"/>
      <c r="H15" s="13"/>
      <c r="I15" s="15"/>
      <c r="J15" s="15"/>
    </row>
    <row r="16" spans="1:23" x14ac:dyDescent="0.2">
      <c r="A16" s="155" t="s">
        <v>23</v>
      </c>
      <c r="B16" s="156"/>
      <c r="C16" s="150"/>
      <c r="D16" s="161"/>
      <c r="E16" s="161"/>
      <c r="F16" s="161"/>
      <c r="G16" s="161"/>
      <c r="H16" s="161"/>
      <c r="I16" s="161"/>
      <c r="J16" s="161"/>
      <c r="K16" s="161"/>
      <c r="L16" s="161"/>
      <c r="M16" s="161"/>
      <c r="N16" s="161"/>
      <c r="O16" s="161"/>
      <c r="P16" s="161"/>
      <c r="Q16" s="161"/>
      <c r="R16" s="161"/>
    </row>
    <row r="17" spans="1:18" x14ac:dyDescent="0.2">
      <c r="A17" s="160"/>
      <c r="B17" s="160"/>
      <c r="C17" s="160"/>
      <c r="D17" s="160"/>
      <c r="E17" s="160"/>
      <c r="F17" s="160"/>
      <c r="G17" s="160"/>
      <c r="H17" s="160"/>
      <c r="I17" s="160"/>
      <c r="J17" s="160"/>
      <c r="K17" s="160"/>
      <c r="L17" s="160"/>
      <c r="M17" s="160"/>
      <c r="N17" s="160"/>
      <c r="O17" s="160"/>
      <c r="P17" s="160"/>
      <c r="Q17" s="160"/>
      <c r="R17" s="160"/>
    </row>
    <row r="19" spans="1:18" x14ac:dyDescent="0.2">
      <c r="A19" s="145" t="s">
        <v>24</v>
      </c>
      <c r="B19" s="147"/>
      <c r="C19" s="145" t="s">
        <v>25</v>
      </c>
      <c r="D19" s="147"/>
      <c r="E19" s="147"/>
      <c r="F19" s="147"/>
      <c r="G19" s="147"/>
      <c r="H19" s="145" t="s">
        <v>26</v>
      </c>
      <c r="I19" s="147"/>
      <c r="J19" s="147"/>
    </row>
    <row r="20" spans="1:18" ht="9.9499999999999993" customHeight="1" x14ac:dyDescent="0.2">
      <c r="A20" s="146" t="s">
        <v>27</v>
      </c>
      <c r="B20" s="147"/>
      <c r="C20" s="146" t="s">
        <v>28</v>
      </c>
      <c r="D20" s="147"/>
      <c r="G20" s="149" t="s">
        <v>29</v>
      </c>
      <c r="H20" s="147"/>
      <c r="I20" s="147"/>
      <c r="J20" s="147"/>
      <c r="K20" s="147"/>
      <c r="L20" s="147"/>
      <c r="M20" s="147"/>
      <c r="N20" s="149" t="s">
        <v>29</v>
      </c>
      <c r="O20" s="147"/>
      <c r="P20" s="147"/>
      <c r="Q20" s="147"/>
    </row>
    <row r="21" spans="1:18" ht="9.9499999999999993" customHeight="1" x14ac:dyDescent="0.2">
      <c r="A21" s="146" t="s">
        <v>30</v>
      </c>
      <c r="B21" s="147"/>
      <c r="C21" s="146" t="s">
        <v>31</v>
      </c>
      <c r="D21" s="147"/>
      <c r="F21" s="150" t="s">
        <v>32</v>
      </c>
      <c r="G21" s="167"/>
      <c r="H21" s="168"/>
      <c r="I21" s="167"/>
      <c r="J21" s="168"/>
      <c r="K21" s="147"/>
      <c r="L21" s="147"/>
      <c r="M21" s="150" t="s">
        <v>33</v>
      </c>
      <c r="N21" s="167"/>
      <c r="O21" s="168"/>
      <c r="P21" s="168"/>
      <c r="Q21" s="167"/>
      <c r="R21" s="168"/>
    </row>
    <row r="22" spans="1:18" ht="9.9499999999999993" customHeight="1" x14ac:dyDescent="0.2">
      <c r="A22" s="146" t="s">
        <v>34</v>
      </c>
      <c r="B22" s="147"/>
      <c r="C22" s="146" t="s">
        <v>227</v>
      </c>
      <c r="D22" s="147"/>
      <c r="F22" s="150" t="s">
        <v>35</v>
      </c>
      <c r="G22" s="167"/>
      <c r="H22" s="168"/>
      <c r="I22" s="167"/>
      <c r="J22" s="168"/>
      <c r="K22" s="147"/>
      <c r="L22" s="147"/>
      <c r="M22" s="151" t="s">
        <v>36</v>
      </c>
      <c r="N22" s="169"/>
      <c r="O22" s="170"/>
      <c r="P22" s="170"/>
      <c r="Q22" s="169"/>
      <c r="R22" s="170"/>
    </row>
    <row r="23" spans="1:18" ht="9.9499999999999993" customHeight="1" x14ac:dyDescent="0.2">
      <c r="A23" s="146" t="s">
        <v>37</v>
      </c>
      <c r="B23" s="147"/>
      <c r="C23" s="148"/>
      <c r="D23" s="147"/>
      <c r="F23" s="150" t="s">
        <v>38</v>
      </c>
      <c r="G23" s="167"/>
      <c r="H23" s="168"/>
      <c r="I23" s="167"/>
      <c r="J23" s="168"/>
      <c r="K23" s="147"/>
      <c r="L23" s="147"/>
      <c r="M23" s="150" t="s">
        <v>39</v>
      </c>
      <c r="N23" s="167"/>
      <c r="O23" s="168"/>
      <c r="P23" s="168"/>
      <c r="Q23" s="167"/>
      <c r="R23" s="168"/>
    </row>
    <row r="24" spans="1:18" ht="9.9499999999999993" customHeight="1" x14ac:dyDescent="0.2">
      <c r="A24" s="146" t="s">
        <v>40</v>
      </c>
      <c r="B24" s="147"/>
      <c r="C24" s="148"/>
      <c r="D24" s="147"/>
      <c r="F24" s="151" t="s">
        <v>41</v>
      </c>
      <c r="G24" s="169"/>
      <c r="H24" s="170"/>
      <c r="I24" s="169"/>
      <c r="J24" s="170"/>
      <c r="K24" s="147"/>
      <c r="L24" s="147"/>
      <c r="M24" s="151" t="s">
        <v>42</v>
      </c>
      <c r="N24" s="169"/>
      <c r="O24" s="170"/>
      <c r="P24" s="170"/>
      <c r="Q24" s="169"/>
      <c r="R24" s="170"/>
    </row>
    <row r="25" spans="1:18" ht="9.9499999999999993" customHeight="1" x14ac:dyDescent="0.2">
      <c r="A25" s="146" t="s">
        <v>43</v>
      </c>
      <c r="B25" s="147"/>
      <c r="D25" s="147"/>
    </row>
    <row r="26" spans="1:18" ht="24.75" customHeight="1" x14ac:dyDescent="0.2">
      <c r="A26" s="492"/>
      <c r="B26" s="492"/>
      <c r="C26" s="492"/>
      <c r="D26" s="492"/>
      <c r="E26" s="492"/>
      <c r="F26" s="492"/>
      <c r="G26" s="492"/>
      <c r="H26" s="492"/>
      <c r="I26" s="492"/>
      <c r="J26" s="492"/>
      <c r="K26" s="492"/>
      <c r="L26" s="492"/>
      <c r="M26" s="492"/>
      <c r="N26" s="492"/>
      <c r="O26" s="492"/>
      <c r="P26" s="492"/>
      <c r="Q26" s="492"/>
      <c r="R26" s="492"/>
    </row>
    <row r="27" spans="1:18" s="16" customFormat="1" ht="26.25" customHeight="1" x14ac:dyDescent="0.2">
      <c r="A27" s="162" t="s">
        <v>44</v>
      </c>
      <c r="B27" s="483" t="s">
        <v>45</v>
      </c>
      <c r="C27" s="484"/>
      <c r="D27" s="484"/>
      <c r="E27" s="484"/>
      <c r="F27" s="484"/>
      <c r="G27" s="484"/>
      <c r="H27" s="484"/>
      <c r="I27" s="484"/>
      <c r="J27" s="485"/>
      <c r="K27" s="483" t="s">
        <v>46</v>
      </c>
      <c r="L27" s="484"/>
      <c r="M27" s="484"/>
      <c r="N27" s="484"/>
      <c r="O27" s="484"/>
      <c r="P27" s="485"/>
      <c r="Q27" s="481" t="s">
        <v>228</v>
      </c>
      <c r="R27" s="482"/>
    </row>
    <row r="28" spans="1:18" s="10" customFormat="1" ht="12" customHeight="1" x14ac:dyDescent="0.2">
      <c r="A28" s="152">
        <v>1</v>
      </c>
      <c r="B28" s="486"/>
      <c r="C28" s="487"/>
      <c r="D28" s="487"/>
      <c r="E28" s="487"/>
      <c r="F28" s="487"/>
      <c r="G28" s="487"/>
      <c r="H28" s="487"/>
      <c r="I28" s="487"/>
      <c r="J28" s="488"/>
      <c r="K28" s="489"/>
      <c r="L28" s="491"/>
      <c r="M28" s="491"/>
      <c r="N28" s="491"/>
      <c r="O28" s="491"/>
      <c r="P28" s="490"/>
      <c r="Q28" s="489"/>
      <c r="R28" s="490"/>
    </row>
    <row r="29" spans="1:18" s="10" customFormat="1" ht="12" customHeight="1" x14ac:dyDescent="0.2">
      <c r="A29" s="153">
        <v>2</v>
      </c>
      <c r="B29" s="472"/>
      <c r="C29" s="473"/>
      <c r="D29" s="473"/>
      <c r="E29" s="473"/>
      <c r="F29" s="473"/>
      <c r="G29" s="473"/>
      <c r="H29" s="473"/>
      <c r="I29" s="473"/>
      <c r="J29" s="474"/>
      <c r="K29" s="475"/>
      <c r="L29" s="477"/>
      <c r="M29" s="477"/>
      <c r="N29" s="477"/>
      <c r="O29" s="477"/>
      <c r="P29" s="476"/>
      <c r="Q29" s="475"/>
      <c r="R29" s="476"/>
    </row>
    <row r="30" spans="1:18" s="10" customFormat="1" ht="12" customHeight="1" x14ac:dyDescent="0.2">
      <c r="A30" s="153">
        <v>3</v>
      </c>
      <c r="B30" s="472"/>
      <c r="C30" s="473"/>
      <c r="D30" s="473"/>
      <c r="E30" s="473"/>
      <c r="F30" s="473"/>
      <c r="G30" s="473"/>
      <c r="H30" s="473"/>
      <c r="I30" s="473"/>
      <c r="J30" s="474"/>
      <c r="K30" s="475"/>
      <c r="L30" s="477"/>
      <c r="M30" s="477"/>
      <c r="N30" s="477"/>
      <c r="O30" s="477"/>
      <c r="P30" s="476"/>
      <c r="Q30" s="475"/>
      <c r="R30" s="476"/>
    </row>
    <row r="31" spans="1:18" s="10" customFormat="1" ht="12" customHeight="1" x14ac:dyDescent="0.2">
      <c r="A31" s="153">
        <v>4</v>
      </c>
      <c r="B31" s="472"/>
      <c r="C31" s="473"/>
      <c r="D31" s="473"/>
      <c r="E31" s="473"/>
      <c r="F31" s="473"/>
      <c r="G31" s="473"/>
      <c r="H31" s="473"/>
      <c r="I31" s="473"/>
      <c r="J31" s="474"/>
      <c r="K31" s="475"/>
      <c r="L31" s="477"/>
      <c r="M31" s="477"/>
      <c r="N31" s="477"/>
      <c r="O31" s="477"/>
      <c r="P31" s="476"/>
      <c r="Q31" s="475"/>
      <c r="R31" s="476"/>
    </row>
    <row r="32" spans="1:18" s="10" customFormat="1" ht="12" customHeight="1" x14ac:dyDescent="0.2">
      <c r="A32" s="153">
        <v>5</v>
      </c>
      <c r="B32" s="472"/>
      <c r="C32" s="473"/>
      <c r="D32" s="473"/>
      <c r="E32" s="473"/>
      <c r="F32" s="473"/>
      <c r="G32" s="473"/>
      <c r="H32" s="473"/>
      <c r="I32" s="473"/>
      <c r="J32" s="474"/>
      <c r="K32" s="475"/>
      <c r="L32" s="477"/>
      <c r="M32" s="477"/>
      <c r="N32" s="477"/>
      <c r="O32" s="477"/>
      <c r="P32" s="476"/>
      <c r="Q32" s="475"/>
      <c r="R32" s="476"/>
    </row>
    <row r="33" spans="1:18" s="10" customFormat="1" ht="12" customHeight="1" x14ac:dyDescent="0.2">
      <c r="A33" s="153">
        <v>6</v>
      </c>
      <c r="B33" s="472"/>
      <c r="C33" s="473"/>
      <c r="D33" s="473"/>
      <c r="E33" s="473"/>
      <c r="F33" s="473"/>
      <c r="G33" s="473"/>
      <c r="H33" s="473"/>
      <c r="I33" s="473"/>
      <c r="J33" s="474"/>
      <c r="K33" s="475"/>
      <c r="L33" s="477"/>
      <c r="M33" s="477"/>
      <c r="N33" s="477"/>
      <c r="O33" s="477"/>
      <c r="P33" s="476"/>
      <c r="Q33" s="475"/>
      <c r="R33" s="476"/>
    </row>
    <row r="34" spans="1:18" s="10" customFormat="1" ht="12" customHeight="1" x14ac:dyDescent="0.2">
      <c r="A34" s="153">
        <v>7</v>
      </c>
      <c r="B34" s="472"/>
      <c r="C34" s="473"/>
      <c r="D34" s="473"/>
      <c r="E34" s="473"/>
      <c r="F34" s="473"/>
      <c r="G34" s="473"/>
      <c r="H34" s="473"/>
      <c r="I34" s="473"/>
      <c r="J34" s="474"/>
      <c r="K34" s="475"/>
      <c r="L34" s="477"/>
      <c r="M34" s="477"/>
      <c r="N34" s="477"/>
      <c r="O34" s="477"/>
      <c r="P34" s="476"/>
      <c r="Q34" s="475"/>
      <c r="R34" s="476"/>
    </row>
    <row r="35" spans="1:18" s="10" customFormat="1" ht="12" customHeight="1" x14ac:dyDescent="0.2">
      <c r="A35" s="153">
        <v>8</v>
      </c>
      <c r="B35" s="472"/>
      <c r="C35" s="473"/>
      <c r="D35" s="473"/>
      <c r="E35" s="473"/>
      <c r="F35" s="473"/>
      <c r="G35" s="473"/>
      <c r="H35" s="473"/>
      <c r="I35" s="473"/>
      <c r="J35" s="474"/>
      <c r="K35" s="475"/>
      <c r="L35" s="477"/>
      <c r="M35" s="477"/>
      <c r="N35" s="477"/>
      <c r="O35" s="477"/>
      <c r="P35" s="476"/>
      <c r="Q35" s="475"/>
      <c r="R35" s="476"/>
    </row>
    <row r="36" spans="1:18" s="10" customFormat="1" ht="12" customHeight="1" x14ac:dyDescent="0.2">
      <c r="A36" s="153">
        <v>9</v>
      </c>
      <c r="B36" s="472"/>
      <c r="C36" s="473"/>
      <c r="D36" s="473"/>
      <c r="E36" s="473"/>
      <c r="F36" s="473"/>
      <c r="G36" s="473"/>
      <c r="H36" s="473"/>
      <c r="I36" s="473"/>
      <c r="J36" s="474"/>
      <c r="K36" s="475"/>
      <c r="L36" s="477"/>
      <c r="M36" s="477"/>
      <c r="N36" s="477"/>
      <c r="O36" s="477"/>
      <c r="P36" s="476"/>
      <c r="Q36" s="475"/>
      <c r="R36" s="476"/>
    </row>
    <row r="37" spans="1:18" s="10" customFormat="1" ht="12" customHeight="1" x14ac:dyDescent="0.2">
      <c r="A37" s="153">
        <v>10</v>
      </c>
      <c r="B37" s="472"/>
      <c r="C37" s="473"/>
      <c r="D37" s="473"/>
      <c r="E37" s="473"/>
      <c r="F37" s="473"/>
      <c r="G37" s="473"/>
      <c r="H37" s="473"/>
      <c r="I37" s="473"/>
      <c r="J37" s="474"/>
      <c r="K37" s="475"/>
      <c r="L37" s="477"/>
      <c r="M37" s="477"/>
      <c r="N37" s="477"/>
      <c r="O37" s="477"/>
      <c r="P37" s="476"/>
      <c r="Q37" s="475"/>
      <c r="R37" s="476"/>
    </row>
    <row r="38" spans="1:18" s="10" customFormat="1" ht="12" customHeight="1" x14ac:dyDescent="0.2">
      <c r="A38" s="153">
        <v>11</v>
      </c>
      <c r="B38" s="472"/>
      <c r="C38" s="473"/>
      <c r="D38" s="473"/>
      <c r="E38" s="473"/>
      <c r="F38" s="473"/>
      <c r="G38" s="473"/>
      <c r="H38" s="473"/>
      <c r="I38" s="473"/>
      <c r="J38" s="474"/>
      <c r="K38" s="475"/>
      <c r="L38" s="477"/>
      <c r="M38" s="477"/>
      <c r="N38" s="477"/>
      <c r="O38" s="477"/>
      <c r="P38" s="476"/>
      <c r="Q38" s="475"/>
      <c r="R38" s="476"/>
    </row>
    <row r="39" spans="1:18" s="10" customFormat="1" ht="12" customHeight="1" x14ac:dyDescent="0.2">
      <c r="A39" s="153">
        <v>12</v>
      </c>
      <c r="B39" s="472"/>
      <c r="C39" s="473"/>
      <c r="D39" s="473"/>
      <c r="E39" s="473"/>
      <c r="F39" s="473"/>
      <c r="G39" s="473"/>
      <c r="H39" s="473"/>
      <c r="I39" s="473"/>
      <c r="J39" s="474"/>
      <c r="K39" s="475"/>
      <c r="L39" s="477"/>
      <c r="M39" s="477"/>
      <c r="N39" s="477"/>
      <c r="O39" s="477"/>
      <c r="P39" s="476"/>
      <c r="Q39" s="475"/>
      <c r="R39" s="476"/>
    </row>
    <row r="40" spans="1:18" s="10" customFormat="1" ht="12" customHeight="1" x14ac:dyDescent="0.2">
      <c r="A40" s="153">
        <v>13</v>
      </c>
      <c r="B40" s="472"/>
      <c r="C40" s="473"/>
      <c r="D40" s="473"/>
      <c r="E40" s="473"/>
      <c r="F40" s="473"/>
      <c r="G40" s="473"/>
      <c r="H40" s="473"/>
      <c r="I40" s="473"/>
      <c r="J40" s="474"/>
      <c r="K40" s="475"/>
      <c r="L40" s="477"/>
      <c r="M40" s="477"/>
      <c r="N40" s="477"/>
      <c r="O40" s="477"/>
      <c r="P40" s="476"/>
      <c r="Q40" s="475"/>
      <c r="R40" s="476"/>
    </row>
    <row r="41" spans="1:18" s="10" customFormat="1" ht="12" customHeight="1" x14ac:dyDescent="0.2">
      <c r="A41" s="153">
        <v>14</v>
      </c>
      <c r="B41" s="472"/>
      <c r="C41" s="473"/>
      <c r="D41" s="473"/>
      <c r="E41" s="473"/>
      <c r="F41" s="473"/>
      <c r="G41" s="473"/>
      <c r="H41" s="473"/>
      <c r="I41" s="473"/>
      <c r="J41" s="474"/>
      <c r="K41" s="475"/>
      <c r="L41" s="477"/>
      <c r="M41" s="477"/>
      <c r="N41" s="477"/>
      <c r="O41" s="477"/>
      <c r="P41" s="476"/>
      <c r="Q41" s="475"/>
      <c r="R41" s="476"/>
    </row>
    <row r="42" spans="1:18" s="10" customFormat="1" ht="12" customHeight="1" x14ac:dyDescent="0.2">
      <c r="A42" s="153">
        <v>15</v>
      </c>
      <c r="B42" s="472"/>
      <c r="C42" s="473"/>
      <c r="D42" s="473"/>
      <c r="E42" s="473"/>
      <c r="F42" s="473"/>
      <c r="G42" s="473"/>
      <c r="H42" s="473"/>
      <c r="I42" s="473"/>
      <c r="J42" s="474"/>
      <c r="K42" s="475"/>
      <c r="L42" s="477"/>
      <c r="M42" s="477"/>
      <c r="N42" s="477"/>
      <c r="O42" s="477"/>
      <c r="P42" s="476"/>
      <c r="Q42" s="475"/>
      <c r="R42" s="476"/>
    </row>
    <row r="43" spans="1:18" s="10" customFormat="1" ht="12" customHeight="1" x14ac:dyDescent="0.2">
      <c r="A43" s="153">
        <v>16</v>
      </c>
      <c r="B43" s="472"/>
      <c r="C43" s="473"/>
      <c r="D43" s="473"/>
      <c r="E43" s="473"/>
      <c r="F43" s="473"/>
      <c r="G43" s="473"/>
      <c r="H43" s="473"/>
      <c r="I43" s="473"/>
      <c r="J43" s="474"/>
      <c r="K43" s="475"/>
      <c r="L43" s="477"/>
      <c r="M43" s="477"/>
      <c r="N43" s="477"/>
      <c r="O43" s="477"/>
      <c r="P43" s="476"/>
      <c r="Q43" s="475"/>
      <c r="R43" s="476"/>
    </row>
    <row r="44" spans="1:18" s="10" customFormat="1" ht="12" customHeight="1" x14ac:dyDescent="0.2">
      <c r="A44" s="153">
        <v>17</v>
      </c>
      <c r="B44" s="472"/>
      <c r="C44" s="473"/>
      <c r="D44" s="473"/>
      <c r="E44" s="473"/>
      <c r="F44" s="473"/>
      <c r="G44" s="473"/>
      <c r="H44" s="473"/>
      <c r="I44" s="473"/>
      <c r="J44" s="474"/>
      <c r="K44" s="475"/>
      <c r="L44" s="477"/>
      <c r="M44" s="477"/>
      <c r="N44" s="477"/>
      <c r="O44" s="477"/>
      <c r="P44" s="476"/>
      <c r="Q44" s="475"/>
      <c r="R44" s="476"/>
    </row>
    <row r="45" spans="1:18" s="10" customFormat="1" ht="12" customHeight="1" x14ac:dyDescent="0.2">
      <c r="A45" s="153">
        <v>18</v>
      </c>
      <c r="B45" s="472"/>
      <c r="C45" s="473"/>
      <c r="D45" s="473"/>
      <c r="E45" s="473"/>
      <c r="F45" s="473"/>
      <c r="G45" s="473"/>
      <c r="H45" s="473"/>
      <c r="I45" s="473"/>
      <c r="J45" s="474"/>
      <c r="K45" s="475"/>
      <c r="L45" s="477"/>
      <c r="M45" s="477"/>
      <c r="N45" s="477"/>
      <c r="O45" s="477"/>
      <c r="P45" s="476"/>
      <c r="Q45" s="475"/>
      <c r="R45" s="476"/>
    </row>
    <row r="46" spans="1:18" s="10" customFormat="1" ht="12" customHeight="1" x14ac:dyDescent="0.2">
      <c r="A46" s="153">
        <v>19</v>
      </c>
      <c r="B46" s="472"/>
      <c r="C46" s="473"/>
      <c r="D46" s="473"/>
      <c r="E46" s="473"/>
      <c r="F46" s="473"/>
      <c r="G46" s="473"/>
      <c r="H46" s="473"/>
      <c r="I46" s="473"/>
      <c r="J46" s="474"/>
      <c r="K46" s="475"/>
      <c r="L46" s="477"/>
      <c r="M46" s="477"/>
      <c r="N46" s="477"/>
      <c r="O46" s="477"/>
      <c r="P46" s="476"/>
      <c r="Q46" s="475"/>
      <c r="R46" s="476"/>
    </row>
    <row r="47" spans="1:18" s="10" customFormat="1" ht="12" customHeight="1" x14ac:dyDescent="0.2">
      <c r="A47" s="153">
        <v>20</v>
      </c>
      <c r="B47" s="472"/>
      <c r="C47" s="473"/>
      <c r="D47" s="473"/>
      <c r="E47" s="473"/>
      <c r="F47" s="473"/>
      <c r="G47" s="473"/>
      <c r="H47" s="473"/>
      <c r="I47" s="473"/>
      <c r="J47" s="474"/>
      <c r="K47" s="475"/>
      <c r="L47" s="477"/>
      <c r="M47" s="477"/>
      <c r="N47" s="477"/>
      <c r="O47" s="477"/>
      <c r="P47" s="476"/>
      <c r="Q47" s="475"/>
      <c r="R47" s="476"/>
    </row>
    <row r="48" spans="1:18" s="10" customFormat="1" ht="12" customHeight="1" x14ac:dyDescent="0.2">
      <c r="A48" s="153">
        <v>21</v>
      </c>
      <c r="B48" s="472"/>
      <c r="C48" s="473"/>
      <c r="D48" s="473"/>
      <c r="E48" s="473"/>
      <c r="F48" s="473"/>
      <c r="G48" s="473"/>
      <c r="H48" s="473"/>
      <c r="I48" s="473"/>
      <c r="J48" s="474"/>
      <c r="K48" s="475"/>
      <c r="L48" s="477"/>
      <c r="M48" s="477"/>
      <c r="N48" s="477"/>
      <c r="O48" s="477"/>
      <c r="P48" s="476"/>
      <c r="Q48" s="475"/>
      <c r="R48" s="476"/>
    </row>
    <row r="49" spans="1:18" s="10" customFormat="1" ht="12" customHeight="1" x14ac:dyDescent="0.2">
      <c r="A49" s="153">
        <v>22</v>
      </c>
      <c r="B49" s="472"/>
      <c r="C49" s="473"/>
      <c r="D49" s="473"/>
      <c r="E49" s="473"/>
      <c r="F49" s="473"/>
      <c r="G49" s="473"/>
      <c r="H49" s="473"/>
      <c r="I49" s="473"/>
      <c r="J49" s="474"/>
      <c r="K49" s="475"/>
      <c r="L49" s="477"/>
      <c r="M49" s="477"/>
      <c r="N49" s="477"/>
      <c r="O49" s="477"/>
      <c r="P49" s="476"/>
      <c r="Q49" s="475"/>
      <c r="R49" s="476"/>
    </row>
    <row r="50" spans="1:18" s="10" customFormat="1" ht="12" customHeight="1" x14ac:dyDescent="0.2">
      <c r="A50" s="153">
        <v>23</v>
      </c>
      <c r="B50" s="472"/>
      <c r="C50" s="473"/>
      <c r="D50" s="473"/>
      <c r="E50" s="473"/>
      <c r="F50" s="473"/>
      <c r="G50" s="473"/>
      <c r="H50" s="473"/>
      <c r="I50" s="473"/>
      <c r="J50" s="474"/>
      <c r="K50" s="475"/>
      <c r="L50" s="477"/>
      <c r="M50" s="477"/>
      <c r="N50" s="477"/>
      <c r="O50" s="477"/>
      <c r="P50" s="476"/>
      <c r="Q50" s="475"/>
      <c r="R50" s="476"/>
    </row>
    <row r="51" spans="1:18" s="10" customFormat="1" ht="12" customHeight="1" x14ac:dyDescent="0.2">
      <c r="A51" s="153">
        <v>24</v>
      </c>
      <c r="B51" s="472"/>
      <c r="C51" s="473"/>
      <c r="D51" s="473"/>
      <c r="E51" s="473"/>
      <c r="F51" s="473"/>
      <c r="G51" s="473"/>
      <c r="H51" s="473"/>
      <c r="I51" s="473"/>
      <c r="J51" s="474"/>
      <c r="K51" s="475"/>
      <c r="L51" s="477"/>
      <c r="M51" s="477"/>
      <c r="N51" s="477"/>
      <c r="O51" s="477"/>
      <c r="P51" s="476"/>
      <c r="Q51" s="475"/>
      <c r="R51" s="476"/>
    </row>
    <row r="52" spans="1:18" s="10" customFormat="1" ht="12" customHeight="1" x14ac:dyDescent="0.2">
      <c r="A52" s="153">
        <v>25</v>
      </c>
      <c r="B52" s="472"/>
      <c r="C52" s="473"/>
      <c r="D52" s="473"/>
      <c r="E52" s="473"/>
      <c r="F52" s="473"/>
      <c r="G52" s="473"/>
      <c r="H52" s="473"/>
      <c r="I52" s="473"/>
      <c r="J52" s="474"/>
      <c r="K52" s="475"/>
      <c r="L52" s="477"/>
      <c r="M52" s="477"/>
      <c r="N52" s="477"/>
      <c r="O52" s="477"/>
      <c r="P52" s="476"/>
      <c r="Q52" s="475"/>
      <c r="R52" s="476"/>
    </row>
    <row r="53" spans="1:18" s="10" customFormat="1" ht="12" customHeight="1" x14ac:dyDescent="0.2">
      <c r="A53" s="153">
        <v>26</v>
      </c>
      <c r="B53" s="472"/>
      <c r="C53" s="473"/>
      <c r="D53" s="473"/>
      <c r="E53" s="473"/>
      <c r="F53" s="473"/>
      <c r="G53" s="473"/>
      <c r="H53" s="473"/>
      <c r="I53" s="473"/>
      <c r="J53" s="474"/>
      <c r="K53" s="475"/>
      <c r="L53" s="477"/>
      <c r="M53" s="477"/>
      <c r="N53" s="477"/>
      <c r="O53" s="477"/>
      <c r="P53" s="476"/>
      <c r="Q53" s="475"/>
      <c r="R53" s="476"/>
    </row>
    <row r="54" spans="1:18" s="10" customFormat="1" ht="12" customHeight="1" x14ac:dyDescent="0.2">
      <c r="A54" s="153">
        <v>27</v>
      </c>
      <c r="B54" s="472"/>
      <c r="C54" s="473"/>
      <c r="D54" s="473"/>
      <c r="E54" s="473"/>
      <c r="F54" s="473"/>
      <c r="G54" s="473"/>
      <c r="H54" s="473"/>
      <c r="I54" s="473"/>
      <c r="J54" s="474"/>
      <c r="K54" s="475"/>
      <c r="L54" s="477"/>
      <c r="M54" s="477"/>
      <c r="N54" s="477"/>
      <c r="O54" s="477"/>
      <c r="P54" s="476"/>
      <c r="Q54" s="475"/>
      <c r="R54" s="476"/>
    </row>
    <row r="55" spans="1:18" s="10" customFormat="1" ht="12" customHeight="1" x14ac:dyDescent="0.2">
      <c r="A55" s="153">
        <v>28</v>
      </c>
      <c r="B55" s="472"/>
      <c r="C55" s="473"/>
      <c r="D55" s="473"/>
      <c r="E55" s="473"/>
      <c r="F55" s="473"/>
      <c r="G55" s="473"/>
      <c r="H55" s="473"/>
      <c r="I55" s="473"/>
      <c r="J55" s="474"/>
      <c r="K55" s="475"/>
      <c r="L55" s="477"/>
      <c r="M55" s="477"/>
      <c r="N55" s="477"/>
      <c r="O55" s="477"/>
      <c r="P55" s="476"/>
      <c r="Q55" s="475"/>
      <c r="R55" s="476"/>
    </row>
    <row r="56" spans="1:18" s="11" customFormat="1" ht="12" customHeight="1" x14ac:dyDescent="0.2">
      <c r="A56" s="153">
        <v>29</v>
      </c>
      <c r="B56" s="472"/>
      <c r="C56" s="473"/>
      <c r="D56" s="473"/>
      <c r="E56" s="473"/>
      <c r="F56" s="473"/>
      <c r="G56" s="473"/>
      <c r="H56" s="473"/>
      <c r="I56" s="473"/>
      <c r="J56" s="474"/>
      <c r="K56" s="475"/>
      <c r="L56" s="477"/>
      <c r="M56" s="477"/>
      <c r="N56" s="477"/>
      <c r="O56" s="477"/>
      <c r="P56" s="476"/>
      <c r="Q56" s="475"/>
      <c r="R56" s="476"/>
    </row>
    <row r="57" spans="1:18" s="10" customFormat="1" ht="12" customHeight="1" x14ac:dyDescent="0.2">
      <c r="A57" s="153">
        <v>30</v>
      </c>
      <c r="B57" s="472"/>
      <c r="C57" s="473"/>
      <c r="D57" s="473"/>
      <c r="E57" s="473"/>
      <c r="F57" s="473"/>
      <c r="G57" s="473"/>
      <c r="H57" s="473"/>
      <c r="I57" s="473"/>
      <c r="J57" s="474"/>
      <c r="K57" s="475"/>
      <c r="L57" s="477"/>
      <c r="M57" s="477"/>
      <c r="N57" s="477"/>
      <c r="O57" s="477"/>
      <c r="P57" s="476"/>
      <c r="Q57" s="475"/>
      <c r="R57" s="476"/>
    </row>
    <row r="58" spans="1:18" s="10" customFormat="1" ht="12" customHeight="1" x14ac:dyDescent="0.2">
      <c r="A58" s="153">
        <v>31</v>
      </c>
      <c r="B58" s="472"/>
      <c r="C58" s="473"/>
      <c r="D58" s="473"/>
      <c r="E58" s="473"/>
      <c r="F58" s="473"/>
      <c r="G58" s="473"/>
      <c r="H58" s="473"/>
      <c r="I58" s="473"/>
      <c r="J58" s="474"/>
      <c r="K58" s="475"/>
      <c r="L58" s="477"/>
      <c r="M58" s="477"/>
      <c r="N58" s="477"/>
      <c r="O58" s="477"/>
      <c r="P58" s="476"/>
      <c r="Q58" s="475"/>
      <c r="R58" s="476"/>
    </row>
    <row r="59" spans="1:18" s="10" customFormat="1" ht="12" customHeight="1" x14ac:dyDescent="0.2">
      <c r="A59" s="153">
        <v>32</v>
      </c>
      <c r="B59" s="472"/>
      <c r="C59" s="473"/>
      <c r="D59" s="473"/>
      <c r="E59" s="473"/>
      <c r="F59" s="473"/>
      <c r="G59" s="473"/>
      <c r="H59" s="473"/>
      <c r="I59" s="473"/>
      <c r="J59" s="474"/>
      <c r="K59" s="475"/>
      <c r="L59" s="477"/>
      <c r="M59" s="477"/>
      <c r="N59" s="477"/>
      <c r="O59" s="477"/>
      <c r="P59" s="476"/>
      <c r="Q59" s="475"/>
      <c r="R59" s="476"/>
    </row>
    <row r="60" spans="1:18" s="10" customFormat="1" ht="12" customHeight="1" x14ac:dyDescent="0.2">
      <c r="A60" s="153">
        <v>33</v>
      </c>
      <c r="B60" s="472"/>
      <c r="C60" s="473"/>
      <c r="D60" s="473"/>
      <c r="E60" s="473"/>
      <c r="F60" s="473"/>
      <c r="G60" s="473"/>
      <c r="H60" s="473"/>
      <c r="I60" s="473"/>
      <c r="J60" s="474"/>
      <c r="K60" s="475"/>
      <c r="L60" s="477"/>
      <c r="M60" s="477"/>
      <c r="N60" s="477"/>
      <c r="O60" s="477"/>
      <c r="P60" s="476"/>
      <c r="Q60" s="475"/>
      <c r="R60" s="476"/>
    </row>
    <row r="61" spans="1:18" s="10" customFormat="1" ht="12" customHeight="1" x14ac:dyDescent="0.2">
      <c r="A61" s="153">
        <v>34</v>
      </c>
      <c r="B61" s="472"/>
      <c r="C61" s="473"/>
      <c r="D61" s="473"/>
      <c r="E61" s="473"/>
      <c r="F61" s="473"/>
      <c r="G61" s="473"/>
      <c r="H61" s="473"/>
      <c r="I61" s="473"/>
      <c r="J61" s="474"/>
      <c r="K61" s="475"/>
      <c r="L61" s="477"/>
      <c r="M61" s="477"/>
      <c r="N61" s="477"/>
      <c r="O61" s="477"/>
      <c r="P61" s="476"/>
      <c r="Q61" s="475"/>
      <c r="R61" s="476"/>
    </row>
    <row r="62" spans="1:18" s="10" customFormat="1" ht="12" customHeight="1" x14ac:dyDescent="0.2">
      <c r="A62" s="153">
        <v>35</v>
      </c>
      <c r="B62" s="472"/>
      <c r="C62" s="473"/>
      <c r="D62" s="473"/>
      <c r="E62" s="473"/>
      <c r="F62" s="473"/>
      <c r="G62" s="473"/>
      <c r="H62" s="473"/>
      <c r="I62" s="473"/>
      <c r="J62" s="474"/>
      <c r="K62" s="475"/>
      <c r="L62" s="477"/>
      <c r="M62" s="477"/>
      <c r="N62" s="477"/>
      <c r="O62" s="477"/>
      <c r="P62" s="476"/>
      <c r="Q62" s="475"/>
      <c r="R62" s="476"/>
    </row>
    <row r="63" spans="1:18" s="10" customFormat="1" ht="12" customHeight="1" x14ac:dyDescent="0.2">
      <c r="A63" s="153">
        <v>36</v>
      </c>
      <c r="B63" s="472"/>
      <c r="C63" s="473"/>
      <c r="D63" s="473"/>
      <c r="E63" s="473"/>
      <c r="F63" s="473"/>
      <c r="G63" s="473"/>
      <c r="H63" s="473"/>
      <c r="I63" s="473"/>
      <c r="J63" s="474"/>
      <c r="K63" s="475"/>
      <c r="L63" s="477"/>
      <c r="M63" s="477"/>
      <c r="N63" s="477"/>
      <c r="O63" s="477"/>
      <c r="P63" s="476"/>
      <c r="Q63" s="475"/>
      <c r="R63" s="476"/>
    </row>
    <row r="64" spans="1:18" s="10" customFormat="1" ht="12" customHeight="1" x14ac:dyDescent="0.2">
      <c r="A64" s="153">
        <v>37</v>
      </c>
      <c r="B64" s="472"/>
      <c r="C64" s="473"/>
      <c r="D64" s="473"/>
      <c r="E64" s="473"/>
      <c r="F64" s="473"/>
      <c r="G64" s="473"/>
      <c r="H64" s="473"/>
      <c r="I64" s="473"/>
      <c r="J64" s="474"/>
      <c r="K64" s="475"/>
      <c r="L64" s="477"/>
      <c r="M64" s="477"/>
      <c r="N64" s="477"/>
      <c r="O64" s="477"/>
      <c r="P64" s="476"/>
      <c r="Q64" s="475"/>
      <c r="R64" s="476"/>
    </row>
    <row r="65" spans="1:18" s="10" customFormat="1" ht="12" customHeight="1" x14ac:dyDescent="0.2">
      <c r="A65" s="153">
        <v>38</v>
      </c>
      <c r="B65" s="472"/>
      <c r="C65" s="473"/>
      <c r="D65" s="473"/>
      <c r="E65" s="473"/>
      <c r="F65" s="473"/>
      <c r="G65" s="473"/>
      <c r="H65" s="473"/>
      <c r="I65" s="473"/>
      <c r="J65" s="474"/>
      <c r="K65" s="475"/>
      <c r="L65" s="477"/>
      <c r="M65" s="477"/>
      <c r="N65" s="477"/>
      <c r="O65" s="477"/>
      <c r="P65" s="476"/>
      <c r="Q65" s="475"/>
      <c r="R65" s="476"/>
    </row>
    <row r="66" spans="1:18" s="10" customFormat="1" ht="12" customHeight="1" x14ac:dyDescent="0.2">
      <c r="A66" s="153">
        <v>39</v>
      </c>
      <c r="B66" s="472"/>
      <c r="C66" s="473"/>
      <c r="D66" s="473"/>
      <c r="E66" s="473"/>
      <c r="F66" s="473"/>
      <c r="G66" s="473"/>
      <c r="H66" s="473"/>
      <c r="I66" s="473"/>
      <c r="J66" s="474"/>
      <c r="K66" s="475"/>
      <c r="L66" s="477"/>
      <c r="M66" s="477"/>
      <c r="N66" s="477"/>
      <c r="O66" s="477"/>
      <c r="P66" s="476"/>
      <c r="Q66" s="475"/>
      <c r="R66" s="476"/>
    </row>
    <row r="67" spans="1:18" s="10" customFormat="1" ht="12" customHeight="1" x14ac:dyDescent="0.2">
      <c r="A67" s="153">
        <v>40</v>
      </c>
      <c r="B67" s="472"/>
      <c r="C67" s="473"/>
      <c r="D67" s="473"/>
      <c r="E67" s="473"/>
      <c r="F67" s="473"/>
      <c r="G67" s="473"/>
      <c r="H67" s="473"/>
      <c r="I67" s="473"/>
      <c r="J67" s="474"/>
      <c r="K67" s="475"/>
      <c r="L67" s="477"/>
      <c r="M67" s="477"/>
      <c r="N67" s="477"/>
      <c r="O67" s="477"/>
      <c r="P67" s="476"/>
      <c r="Q67" s="475"/>
      <c r="R67" s="476"/>
    </row>
    <row r="68" spans="1:18" s="10" customFormat="1" ht="12" customHeight="1" x14ac:dyDescent="0.2">
      <c r="A68" s="153">
        <v>41</v>
      </c>
      <c r="B68" s="472"/>
      <c r="C68" s="473"/>
      <c r="D68" s="473"/>
      <c r="E68" s="473"/>
      <c r="F68" s="473"/>
      <c r="G68" s="473"/>
      <c r="H68" s="473"/>
      <c r="I68" s="473"/>
      <c r="J68" s="474"/>
      <c r="K68" s="475"/>
      <c r="L68" s="477"/>
      <c r="M68" s="477"/>
      <c r="N68" s="477"/>
      <c r="O68" s="477"/>
      <c r="P68" s="476"/>
      <c r="Q68" s="475"/>
      <c r="R68" s="476"/>
    </row>
    <row r="69" spans="1:18" s="10" customFormat="1" ht="12" customHeight="1" x14ac:dyDescent="0.2">
      <c r="A69" s="153">
        <v>42</v>
      </c>
      <c r="B69" s="472"/>
      <c r="C69" s="473"/>
      <c r="D69" s="473"/>
      <c r="E69" s="473"/>
      <c r="F69" s="473"/>
      <c r="G69" s="473"/>
      <c r="H69" s="473"/>
      <c r="I69" s="473"/>
      <c r="J69" s="474"/>
      <c r="K69" s="475"/>
      <c r="L69" s="477"/>
      <c r="M69" s="477"/>
      <c r="N69" s="477"/>
      <c r="O69" s="477"/>
      <c r="P69" s="476"/>
      <c r="Q69" s="475"/>
      <c r="R69" s="476"/>
    </row>
    <row r="70" spans="1:18" s="10" customFormat="1" ht="12" customHeight="1" x14ac:dyDescent="0.2">
      <c r="A70" s="153">
        <v>43</v>
      </c>
      <c r="B70" s="472"/>
      <c r="C70" s="473"/>
      <c r="D70" s="473"/>
      <c r="E70" s="473"/>
      <c r="F70" s="473"/>
      <c r="G70" s="473"/>
      <c r="H70" s="473"/>
      <c r="I70" s="473"/>
      <c r="J70" s="474"/>
      <c r="K70" s="475"/>
      <c r="L70" s="477"/>
      <c r="M70" s="477"/>
      <c r="N70" s="477"/>
      <c r="O70" s="477"/>
      <c r="P70" s="476"/>
      <c r="Q70" s="475"/>
      <c r="R70" s="476"/>
    </row>
    <row r="71" spans="1:18" s="10" customFormat="1" ht="12" customHeight="1" x14ac:dyDescent="0.2">
      <c r="A71" s="153">
        <v>44</v>
      </c>
      <c r="B71" s="472"/>
      <c r="C71" s="473"/>
      <c r="D71" s="473"/>
      <c r="E71" s="473"/>
      <c r="F71" s="473"/>
      <c r="G71" s="473"/>
      <c r="H71" s="473"/>
      <c r="I71" s="473"/>
      <c r="J71" s="474"/>
      <c r="K71" s="475"/>
      <c r="L71" s="477"/>
      <c r="M71" s="477"/>
      <c r="N71" s="477"/>
      <c r="O71" s="477"/>
      <c r="P71" s="476"/>
      <c r="Q71" s="475"/>
      <c r="R71" s="476"/>
    </row>
    <row r="72" spans="1:18" s="10" customFormat="1" ht="12" customHeight="1" x14ac:dyDescent="0.2">
      <c r="A72" s="153">
        <v>45</v>
      </c>
      <c r="B72" s="472"/>
      <c r="C72" s="473"/>
      <c r="D72" s="473"/>
      <c r="E72" s="473"/>
      <c r="F72" s="473"/>
      <c r="G72" s="473"/>
      <c r="H72" s="473"/>
      <c r="I72" s="473"/>
      <c r="J72" s="474"/>
      <c r="K72" s="475"/>
      <c r="L72" s="477"/>
      <c r="M72" s="477"/>
      <c r="N72" s="477"/>
      <c r="O72" s="477"/>
      <c r="P72" s="476"/>
      <c r="Q72" s="475"/>
      <c r="R72" s="476"/>
    </row>
    <row r="73" spans="1:18" s="10" customFormat="1" ht="12" customHeight="1" x14ac:dyDescent="0.2">
      <c r="A73" s="153">
        <v>46</v>
      </c>
      <c r="B73" s="472"/>
      <c r="C73" s="473"/>
      <c r="D73" s="473"/>
      <c r="E73" s="473"/>
      <c r="F73" s="473"/>
      <c r="G73" s="473"/>
      <c r="H73" s="473"/>
      <c r="I73" s="473"/>
      <c r="J73" s="474"/>
      <c r="K73" s="475"/>
      <c r="L73" s="477"/>
      <c r="M73" s="477"/>
      <c r="N73" s="477"/>
      <c r="O73" s="477"/>
      <c r="P73" s="476"/>
      <c r="Q73" s="475"/>
      <c r="R73" s="476"/>
    </row>
    <row r="74" spans="1:18" s="10" customFormat="1" ht="12" customHeight="1" x14ac:dyDescent="0.2">
      <c r="A74" s="153">
        <v>47</v>
      </c>
      <c r="B74" s="472"/>
      <c r="C74" s="473"/>
      <c r="D74" s="473"/>
      <c r="E74" s="473"/>
      <c r="F74" s="473"/>
      <c r="G74" s="473"/>
      <c r="H74" s="473"/>
      <c r="I74" s="473"/>
      <c r="J74" s="474"/>
      <c r="K74" s="475"/>
      <c r="L74" s="477"/>
      <c r="M74" s="477"/>
      <c r="N74" s="477"/>
      <c r="O74" s="477"/>
      <c r="P74" s="476"/>
      <c r="Q74" s="475"/>
      <c r="R74" s="476"/>
    </row>
    <row r="75" spans="1:18" s="10" customFormat="1" ht="12" customHeight="1" x14ac:dyDescent="0.2">
      <c r="A75" s="153">
        <v>48</v>
      </c>
      <c r="B75" s="472"/>
      <c r="C75" s="473"/>
      <c r="D75" s="473"/>
      <c r="E75" s="473"/>
      <c r="F75" s="473"/>
      <c r="G75" s="473"/>
      <c r="H75" s="473"/>
      <c r="I75" s="473"/>
      <c r="J75" s="474"/>
      <c r="K75" s="475"/>
      <c r="L75" s="477"/>
      <c r="M75" s="477"/>
      <c r="N75" s="477"/>
      <c r="O75" s="477"/>
      <c r="P75" s="476"/>
      <c r="Q75" s="475"/>
      <c r="R75" s="476"/>
    </row>
    <row r="76" spans="1:18" s="10" customFormat="1" ht="12" customHeight="1" x14ac:dyDescent="0.2">
      <c r="A76" s="153">
        <v>49</v>
      </c>
      <c r="B76" s="472"/>
      <c r="C76" s="473"/>
      <c r="D76" s="473"/>
      <c r="E76" s="473"/>
      <c r="F76" s="473"/>
      <c r="G76" s="473"/>
      <c r="H76" s="473"/>
      <c r="I76" s="473"/>
      <c r="J76" s="474"/>
      <c r="K76" s="475"/>
      <c r="L76" s="477"/>
      <c r="M76" s="477"/>
      <c r="N76" s="477"/>
      <c r="O76" s="477"/>
      <c r="P76" s="476"/>
      <c r="Q76" s="475"/>
      <c r="R76" s="476"/>
    </row>
    <row r="77" spans="1:18" s="10" customFormat="1" ht="12" customHeight="1" x14ac:dyDescent="0.2">
      <c r="A77" s="153">
        <v>50</v>
      </c>
      <c r="B77" s="472"/>
      <c r="C77" s="473"/>
      <c r="D77" s="473"/>
      <c r="E77" s="473"/>
      <c r="F77" s="473"/>
      <c r="G77" s="473"/>
      <c r="H77" s="473"/>
      <c r="I77" s="473"/>
      <c r="J77" s="474"/>
      <c r="K77" s="475"/>
      <c r="L77" s="477"/>
      <c r="M77" s="477"/>
      <c r="N77" s="477"/>
      <c r="O77" s="477"/>
      <c r="P77" s="476"/>
      <c r="Q77" s="475"/>
      <c r="R77" s="476"/>
    </row>
    <row r="78" spans="1:18" s="10" customFormat="1" ht="12" customHeight="1" x14ac:dyDescent="0.2">
      <c r="A78" s="153">
        <v>51</v>
      </c>
      <c r="B78" s="472"/>
      <c r="C78" s="473"/>
      <c r="D78" s="473"/>
      <c r="E78" s="473"/>
      <c r="F78" s="473"/>
      <c r="G78" s="473"/>
      <c r="H78" s="473"/>
      <c r="I78" s="473"/>
      <c r="J78" s="474"/>
      <c r="K78" s="475"/>
      <c r="L78" s="477"/>
      <c r="M78" s="477"/>
      <c r="N78" s="477"/>
      <c r="O78" s="477"/>
      <c r="P78" s="476"/>
      <c r="Q78" s="475"/>
      <c r="R78" s="476"/>
    </row>
    <row r="79" spans="1:18" s="10" customFormat="1" ht="12" customHeight="1" x14ac:dyDescent="0.2">
      <c r="A79" s="153">
        <v>52</v>
      </c>
      <c r="B79" s="472"/>
      <c r="C79" s="473"/>
      <c r="D79" s="473"/>
      <c r="E79" s="473"/>
      <c r="F79" s="473"/>
      <c r="G79" s="473"/>
      <c r="H79" s="473"/>
      <c r="I79" s="473"/>
      <c r="J79" s="474"/>
      <c r="K79" s="475"/>
      <c r="L79" s="477"/>
      <c r="M79" s="477"/>
      <c r="N79" s="477"/>
      <c r="O79" s="477"/>
      <c r="P79" s="476"/>
      <c r="Q79" s="475"/>
      <c r="R79" s="476"/>
    </row>
    <row r="80" spans="1:18" s="10" customFormat="1" ht="12" customHeight="1" x14ac:dyDescent="0.2">
      <c r="A80" s="153">
        <v>53</v>
      </c>
      <c r="B80" s="472"/>
      <c r="C80" s="473"/>
      <c r="D80" s="473"/>
      <c r="E80" s="473"/>
      <c r="F80" s="473"/>
      <c r="G80" s="473"/>
      <c r="H80" s="473"/>
      <c r="I80" s="473"/>
      <c r="J80" s="474"/>
      <c r="K80" s="475"/>
      <c r="L80" s="477"/>
      <c r="M80" s="477"/>
      <c r="N80" s="477"/>
      <c r="O80" s="477"/>
      <c r="P80" s="476"/>
      <c r="Q80" s="475"/>
      <c r="R80" s="476"/>
    </row>
    <row r="81" spans="1:18" s="10" customFormat="1" ht="12" customHeight="1" x14ac:dyDescent="0.2">
      <c r="A81" s="153">
        <v>54</v>
      </c>
      <c r="B81" s="472"/>
      <c r="C81" s="473"/>
      <c r="D81" s="473"/>
      <c r="E81" s="473"/>
      <c r="F81" s="473"/>
      <c r="G81" s="473"/>
      <c r="H81" s="473"/>
      <c r="I81" s="473"/>
      <c r="J81" s="474"/>
      <c r="K81" s="475"/>
      <c r="L81" s="477"/>
      <c r="M81" s="477"/>
      <c r="N81" s="477"/>
      <c r="O81" s="477"/>
      <c r="P81" s="476"/>
      <c r="Q81" s="475"/>
      <c r="R81" s="476"/>
    </row>
    <row r="82" spans="1:18" s="10" customFormat="1" ht="12" customHeight="1" x14ac:dyDescent="0.2">
      <c r="A82" s="153">
        <v>55</v>
      </c>
      <c r="B82" s="472"/>
      <c r="C82" s="473"/>
      <c r="D82" s="473"/>
      <c r="E82" s="473"/>
      <c r="F82" s="473"/>
      <c r="G82" s="473"/>
      <c r="H82" s="473"/>
      <c r="I82" s="473"/>
      <c r="J82" s="474"/>
      <c r="K82" s="475"/>
      <c r="L82" s="477"/>
      <c r="M82" s="477"/>
      <c r="N82" s="477"/>
      <c r="O82" s="477"/>
      <c r="P82" s="476"/>
      <c r="Q82" s="475"/>
      <c r="R82" s="476"/>
    </row>
    <row r="83" spans="1:18" s="10" customFormat="1" ht="12" customHeight="1" x14ac:dyDescent="0.2">
      <c r="A83" s="153">
        <v>56</v>
      </c>
      <c r="B83" s="472"/>
      <c r="C83" s="473"/>
      <c r="D83" s="473"/>
      <c r="E83" s="473"/>
      <c r="F83" s="473"/>
      <c r="G83" s="473"/>
      <c r="H83" s="473"/>
      <c r="I83" s="473"/>
      <c r="J83" s="474"/>
      <c r="K83" s="475"/>
      <c r="L83" s="477"/>
      <c r="M83" s="477"/>
      <c r="N83" s="477"/>
      <c r="O83" s="477"/>
      <c r="P83" s="476"/>
      <c r="Q83" s="475"/>
      <c r="R83" s="476"/>
    </row>
    <row r="84" spans="1:18" s="10" customFormat="1" ht="12" customHeight="1" x14ac:dyDescent="0.2">
      <c r="A84" s="153">
        <v>57</v>
      </c>
      <c r="B84" s="472"/>
      <c r="C84" s="473"/>
      <c r="D84" s="473"/>
      <c r="E84" s="473"/>
      <c r="F84" s="473"/>
      <c r="G84" s="473"/>
      <c r="H84" s="473"/>
      <c r="I84" s="473"/>
      <c r="J84" s="474"/>
      <c r="K84" s="475"/>
      <c r="L84" s="477"/>
      <c r="M84" s="477"/>
      <c r="N84" s="477"/>
      <c r="O84" s="477"/>
      <c r="P84" s="476"/>
      <c r="Q84" s="475"/>
      <c r="R84" s="476"/>
    </row>
    <row r="85" spans="1:18" s="10" customFormat="1" ht="12" customHeight="1" x14ac:dyDescent="0.2">
      <c r="A85" s="153">
        <v>58</v>
      </c>
      <c r="B85" s="472"/>
      <c r="C85" s="473"/>
      <c r="D85" s="473"/>
      <c r="E85" s="473"/>
      <c r="F85" s="473"/>
      <c r="G85" s="473"/>
      <c r="H85" s="473"/>
      <c r="I85" s="473"/>
      <c r="J85" s="474"/>
      <c r="K85" s="475"/>
      <c r="L85" s="477"/>
      <c r="M85" s="477"/>
      <c r="N85" s="477"/>
      <c r="O85" s="477"/>
      <c r="P85" s="476"/>
      <c r="Q85" s="475"/>
      <c r="R85" s="476"/>
    </row>
    <row r="86" spans="1:18" s="10" customFormat="1" ht="12" customHeight="1" x14ac:dyDescent="0.2">
      <c r="A86" s="153">
        <v>59</v>
      </c>
      <c r="B86" s="472"/>
      <c r="C86" s="473"/>
      <c r="D86" s="473"/>
      <c r="E86" s="473"/>
      <c r="F86" s="473"/>
      <c r="G86" s="473"/>
      <c r="H86" s="473"/>
      <c r="I86" s="473"/>
      <c r="J86" s="474"/>
      <c r="K86" s="475"/>
      <c r="L86" s="477"/>
      <c r="M86" s="477"/>
      <c r="N86" s="477"/>
      <c r="O86" s="477"/>
      <c r="P86" s="476"/>
      <c r="Q86" s="475"/>
      <c r="R86" s="476"/>
    </row>
    <row r="87" spans="1:18" s="10" customFormat="1" ht="12" customHeight="1" x14ac:dyDescent="0.2">
      <c r="A87" s="153">
        <v>60</v>
      </c>
      <c r="B87" s="472"/>
      <c r="C87" s="473"/>
      <c r="D87" s="473"/>
      <c r="E87" s="473"/>
      <c r="F87" s="473"/>
      <c r="G87" s="473"/>
      <c r="H87" s="473"/>
      <c r="I87" s="473"/>
      <c r="J87" s="474"/>
      <c r="K87" s="475"/>
      <c r="L87" s="477"/>
      <c r="M87" s="477"/>
      <c r="N87" s="477"/>
      <c r="O87" s="477"/>
      <c r="P87" s="476"/>
      <c r="Q87" s="475"/>
      <c r="R87" s="476"/>
    </row>
    <row r="88" spans="1:18" s="10" customFormat="1" ht="12" customHeight="1" x14ac:dyDescent="0.2">
      <c r="A88" s="153">
        <v>61</v>
      </c>
      <c r="B88" s="472"/>
      <c r="C88" s="473"/>
      <c r="D88" s="473"/>
      <c r="E88" s="473"/>
      <c r="F88" s="473"/>
      <c r="G88" s="473"/>
      <c r="H88" s="473"/>
      <c r="I88" s="473"/>
      <c r="J88" s="474"/>
      <c r="K88" s="475"/>
      <c r="L88" s="477"/>
      <c r="M88" s="477"/>
      <c r="N88" s="477"/>
      <c r="O88" s="477"/>
      <c r="P88" s="476"/>
      <c r="Q88" s="475"/>
      <c r="R88" s="476"/>
    </row>
    <row r="89" spans="1:18" s="10" customFormat="1" ht="12" customHeight="1" x14ac:dyDescent="0.2">
      <c r="A89" s="153">
        <v>62</v>
      </c>
      <c r="B89" s="472"/>
      <c r="C89" s="473"/>
      <c r="D89" s="473"/>
      <c r="E89" s="473"/>
      <c r="F89" s="473"/>
      <c r="G89" s="473"/>
      <c r="H89" s="473"/>
      <c r="I89" s="473"/>
      <c r="J89" s="474"/>
      <c r="K89" s="475"/>
      <c r="L89" s="477"/>
      <c r="M89" s="477"/>
      <c r="N89" s="477"/>
      <c r="O89" s="477"/>
      <c r="P89" s="476"/>
      <c r="Q89" s="475"/>
      <c r="R89" s="476"/>
    </row>
    <row r="90" spans="1:18" s="10" customFormat="1" ht="12" customHeight="1" x14ac:dyDescent="0.2">
      <c r="A90" s="153">
        <v>63</v>
      </c>
      <c r="B90" s="472"/>
      <c r="C90" s="473"/>
      <c r="D90" s="473"/>
      <c r="E90" s="473"/>
      <c r="F90" s="473"/>
      <c r="G90" s="473"/>
      <c r="H90" s="473"/>
      <c r="I90" s="473"/>
      <c r="J90" s="474"/>
      <c r="K90" s="475"/>
      <c r="L90" s="477"/>
      <c r="M90" s="477"/>
      <c r="N90" s="477"/>
      <c r="O90" s="477"/>
      <c r="P90" s="476"/>
      <c r="Q90" s="475"/>
      <c r="R90" s="476"/>
    </row>
    <row r="91" spans="1:18" s="10" customFormat="1" ht="12" customHeight="1" x14ac:dyDescent="0.2">
      <c r="A91" s="153">
        <v>64</v>
      </c>
      <c r="B91" s="472"/>
      <c r="C91" s="473"/>
      <c r="D91" s="473"/>
      <c r="E91" s="473"/>
      <c r="F91" s="473"/>
      <c r="G91" s="473"/>
      <c r="H91" s="473"/>
      <c r="I91" s="473"/>
      <c r="J91" s="474"/>
      <c r="K91" s="475"/>
      <c r="L91" s="477"/>
      <c r="M91" s="477"/>
      <c r="N91" s="477"/>
      <c r="O91" s="477"/>
      <c r="P91" s="476"/>
      <c r="Q91" s="475"/>
      <c r="R91" s="476"/>
    </row>
    <row r="92" spans="1:18" s="10" customFormat="1" ht="12" customHeight="1" x14ac:dyDescent="0.2">
      <c r="A92" s="153">
        <v>65</v>
      </c>
      <c r="B92" s="472"/>
      <c r="C92" s="473"/>
      <c r="D92" s="473"/>
      <c r="E92" s="473"/>
      <c r="F92" s="473"/>
      <c r="G92" s="473"/>
      <c r="H92" s="473"/>
      <c r="I92" s="473"/>
      <c r="J92" s="474"/>
      <c r="K92" s="475"/>
      <c r="L92" s="477"/>
      <c r="M92" s="477"/>
      <c r="N92" s="477"/>
      <c r="O92" s="477"/>
      <c r="P92" s="476"/>
      <c r="Q92" s="475"/>
      <c r="R92" s="476"/>
    </row>
    <row r="93" spans="1:18" ht="12" customHeight="1" x14ac:dyDescent="0.2">
      <c r="A93" s="153">
        <v>66</v>
      </c>
      <c r="B93" s="472"/>
      <c r="C93" s="473"/>
      <c r="D93" s="473"/>
      <c r="E93" s="473"/>
      <c r="F93" s="473"/>
      <c r="G93" s="473"/>
      <c r="H93" s="473"/>
      <c r="I93" s="473"/>
      <c r="J93" s="474"/>
      <c r="K93" s="475"/>
      <c r="L93" s="477"/>
      <c r="M93" s="477"/>
      <c r="N93" s="477"/>
      <c r="O93" s="477"/>
      <c r="P93" s="476"/>
      <c r="Q93" s="475"/>
      <c r="R93" s="476"/>
    </row>
    <row r="94" spans="1:18" ht="12" customHeight="1" x14ac:dyDescent="0.2">
      <c r="A94" s="153">
        <v>67</v>
      </c>
      <c r="B94" s="472"/>
      <c r="C94" s="473"/>
      <c r="D94" s="473"/>
      <c r="E94" s="473"/>
      <c r="F94" s="473"/>
      <c r="G94" s="473"/>
      <c r="H94" s="473"/>
      <c r="I94" s="473"/>
      <c r="J94" s="474"/>
      <c r="K94" s="475"/>
      <c r="L94" s="477"/>
      <c r="M94" s="477"/>
      <c r="N94" s="477"/>
      <c r="O94" s="477"/>
      <c r="P94" s="476"/>
      <c r="Q94" s="475"/>
      <c r="R94" s="476"/>
    </row>
    <row r="95" spans="1:18" ht="12" customHeight="1" x14ac:dyDescent="0.2">
      <c r="A95" s="153">
        <v>68</v>
      </c>
      <c r="B95" s="472"/>
      <c r="C95" s="473"/>
      <c r="D95" s="473"/>
      <c r="E95" s="473"/>
      <c r="F95" s="473"/>
      <c r="G95" s="473"/>
      <c r="H95" s="473"/>
      <c r="I95" s="473"/>
      <c r="J95" s="474"/>
      <c r="K95" s="475"/>
      <c r="L95" s="477"/>
      <c r="M95" s="477"/>
      <c r="N95" s="477"/>
      <c r="O95" s="477"/>
      <c r="P95" s="476"/>
      <c r="Q95" s="475"/>
      <c r="R95" s="476"/>
    </row>
    <row r="96" spans="1:18" ht="12" customHeight="1" x14ac:dyDescent="0.2">
      <c r="A96" s="153">
        <v>69</v>
      </c>
      <c r="B96" s="472"/>
      <c r="C96" s="473"/>
      <c r="D96" s="473"/>
      <c r="E96" s="473"/>
      <c r="F96" s="473"/>
      <c r="G96" s="473"/>
      <c r="H96" s="473"/>
      <c r="I96" s="473"/>
      <c r="J96" s="474"/>
      <c r="K96" s="475"/>
      <c r="L96" s="477"/>
      <c r="M96" s="477"/>
      <c r="N96" s="477"/>
      <c r="O96" s="477"/>
      <c r="P96" s="476"/>
      <c r="Q96" s="475"/>
      <c r="R96" s="476"/>
    </row>
    <row r="97" spans="1:18" ht="12" customHeight="1" x14ac:dyDescent="0.2">
      <c r="A97" s="153">
        <v>70</v>
      </c>
      <c r="B97" s="472"/>
      <c r="C97" s="473"/>
      <c r="D97" s="473"/>
      <c r="E97" s="473"/>
      <c r="F97" s="473"/>
      <c r="G97" s="473"/>
      <c r="H97" s="473"/>
      <c r="I97" s="473"/>
      <c r="J97" s="474"/>
      <c r="K97" s="475"/>
      <c r="L97" s="477"/>
      <c r="M97" s="477"/>
      <c r="N97" s="477"/>
      <c r="O97" s="477"/>
      <c r="P97" s="476"/>
      <c r="Q97" s="475"/>
      <c r="R97" s="476"/>
    </row>
    <row r="98" spans="1:18" ht="12" customHeight="1" x14ac:dyDescent="0.2">
      <c r="A98" s="153">
        <v>71</v>
      </c>
      <c r="B98" s="472"/>
      <c r="C98" s="473"/>
      <c r="D98" s="473"/>
      <c r="E98" s="473"/>
      <c r="F98" s="473"/>
      <c r="G98" s="473"/>
      <c r="H98" s="473"/>
      <c r="I98" s="473"/>
      <c r="J98" s="474"/>
      <c r="K98" s="475"/>
      <c r="L98" s="477"/>
      <c r="M98" s="477"/>
      <c r="N98" s="477"/>
      <c r="O98" s="477"/>
      <c r="P98" s="476"/>
      <c r="Q98" s="475"/>
      <c r="R98" s="476"/>
    </row>
    <row r="99" spans="1:18" ht="12" customHeight="1" x14ac:dyDescent="0.2">
      <c r="A99" s="153">
        <v>72</v>
      </c>
      <c r="B99" s="472"/>
      <c r="C99" s="473"/>
      <c r="D99" s="473"/>
      <c r="E99" s="473"/>
      <c r="F99" s="473"/>
      <c r="G99" s="473"/>
      <c r="H99" s="473"/>
      <c r="I99" s="473"/>
      <c r="J99" s="474"/>
      <c r="K99" s="475"/>
      <c r="L99" s="477"/>
      <c r="M99" s="477"/>
      <c r="N99" s="477"/>
      <c r="O99" s="477"/>
      <c r="P99" s="476"/>
      <c r="Q99" s="475"/>
      <c r="R99" s="476"/>
    </row>
    <row r="100" spans="1:18" ht="12" customHeight="1" x14ac:dyDescent="0.2">
      <c r="A100" s="153">
        <v>73</v>
      </c>
      <c r="B100" s="472"/>
      <c r="C100" s="473"/>
      <c r="D100" s="473"/>
      <c r="E100" s="473"/>
      <c r="F100" s="473"/>
      <c r="G100" s="473"/>
      <c r="H100" s="473"/>
      <c r="I100" s="473"/>
      <c r="J100" s="474"/>
      <c r="K100" s="475"/>
      <c r="L100" s="477"/>
      <c r="M100" s="477"/>
      <c r="N100" s="477"/>
      <c r="O100" s="477"/>
      <c r="P100" s="476"/>
      <c r="Q100" s="475"/>
      <c r="R100" s="476"/>
    </row>
    <row r="101" spans="1:18" ht="12" customHeight="1" x14ac:dyDescent="0.2">
      <c r="A101" s="153">
        <v>74</v>
      </c>
      <c r="B101" s="472"/>
      <c r="C101" s="473"/>
      <c r="D101" s="473"/>
      <c r="E101" s="473"/>
      <c r="F101" s="473"/>
      <c r="G101" s="473"/>
      <c r="H101" s="473"/>
      <c r="I101" s="473"/>
      <c r="J101" s="474"/>
      <c r="K101" s="475"/>
      <c r="L101" s="477"/>
      <c r="M101" s="477"/>
      <c r="N101" s="477"/>
      <c r="O101" s="477"/>
      <c r="P101" s="476"/>
      <c r="Q101" s="475"/>
      <c r="R101" s="476"/>
    </row>
    <row r="102" spans="1:18" ht="12" customHeight="1" x14ac:dyDescent="0.2">
      <c r="A102" s="153">
        <v>75</v>
      </c>
      <c r="B102" s="472"/>
      <c r="C102" s="473"/>
      <c r="D102" s="473"/>
      <c r="E102" s="473"/>
      <c r="F102" s="473"/>
      <c r="G102" s="473"/>
      <c r="H102" s="473"/>
      <c r="I102" s="473"/>
      <c r="J102" s="474"/>
      <c r="K102" s="475"/>
      <c r="L102" s="477"/>
      <c r="M102" s="477"/>
      <c r="N102" s="477"/>
      <c r="O102" s="477"/>
      <c r="P102" s="476"/>
      <c r="Q102" s="475"/>
      <c r="R102" s="476"/>
    </row>
    <row r="103" spans="1:18" ht="12" customHeight="1" x14ac:dyDescent="0.2">
      <c r="A103" s="153">
        <v>76</v>
      </c>
      <c r="B103" s="472"/>
      <c r="C103" s="473"/>
      <c r="D103" s="473"/>
      <c r="E103" s="473"/>
      <c r="F103" s="473"/>
      <c r="G103" s="473"/>
      <c r="H103" s="473"/>
      <c r="I103" s="473"/>
      <c r="J103" s="474"/>
      <c r="K103" s="475"/>
      <c r="L103" s="477"/>
      <c r="M103" s="477"/>
      <c r="N103" s="477"/>
      <c r="O103" s="477"/>
      <c r="P103" s="476"/>
      <c r="Q103" s="475"/>
      <c r="R103" s="476"/>
    </row>
    <row r="104" spans="1:18" ht="12" customHeight="1" x14ac:dyDescent="0.2">
      <c r="A104" s="153">
        <v>77</v>
      </c>
      <c r="B104" s="472"/>
      <c r="C104" s="473"/>
      <c r="D104" s="473"/>
      <c r="E104" s="473"/>
      <c r="F104" s="473"/>
      <c r="G104" s="473"/>
      <c r="H104" s="473"/>
      <c r="I104" s="473"/>
      <c r="J104" s="474"/>
      <c r="K104" s="475"/>
      <c r="L104" s="477"/>
      <c r="M104" s="477"/>
      <c r="N104" s="477"/>
      <c r="O104" s="477"/>
      <c r="P104" s="476"/>
      <c r="Q104" s="475"/>
      <c r="R104" s="476"/>
    </row>
    <row r="105" spans="1:18" ht="12" customHeight="1" x14ac:dyDescent="0.2">
      <c r="A105" s="153">
        <v>78</v>
      </c>
      <c r="B105" s="472"/>
      <c r="C105" s="473"/>
      <c r="D105" s="473"/>
      <c r="E105" s="473"/>
      <c r="F105" s="473"/>
      <c r="G105" s="473"/>
      <c r="H105" s="473"/>
      <c r="I105" s="473"/>
      <c r="J105" s="474"/>
      <c r="K105" s="475"/>
      <c r="L105" s="477"/>
      <c r="M105" s="477"/>
      <c r="N105" s="477"/>
      <c r="O105" s="477"/>
      <c r="P105" s="476"/>
      <c r="Q105" s="475"/>
      <c r="R105" s="476"/>
    </row>
    <row r="106" spans="1:18" ht="12" customHeight="1" x14ac:dyDescent="0.2">
      <c r="A106" s="153">
        <v>79</v>
      </c>
      <c r="B106" s="472"/>
      <c r="C106" s="473"/>
      <c r="D106" s="473"/>
      <c r="E106" s="473"/>
      <c r="F106" s="473"/>
      <c r="G106" s="473"/>
      <c r="H106" s="473"/>
      <c r="I106" s="473"/>
      <c r="J106" s="474"/>
      <c r="K106" s="475"/>
      <c r="L106" s="477"/>
      <c r="M106" s="477"/>
      <c r="N106" s="477"/>
      <c r="O106" s="477"/>
      <c r="P106" s="476"/>
      <c r="Q106" s="475"/>
      <c r="R106" s="476"/>
    </row>
    <row r="107" spans="1:18" ht="12" customHeight="1" x14ac:dyDescent="0.2">
      <c r="A107" s="153">
        <v>80</v>
      </c>
      <c r="B107" s="472"/>
      <c r="C107" s="473"/>
      <c r="D107" s="473"/>
      <c r="E107" s="473"/>
      <c r="F107" s="473"/>
      <c r="G107" s="473"/>
      <c r="H107" s="473"/>
      <c r="I107" s="473"/>
      <c r="J107" s="474"/>
      <c r="K107" s="475"/>
      <c r="L107" s="477"/>
      <c r="M107" s="477"/>
      <c r="N107" s="477"/>
      <c r="O107" s="477"/>
      <c r="P107" s="476"/>
      <c r="Q107" s="475"/>
      <c r="R107" s="476"/>
    </row>
    <row r="108" spans="1:18" ht="12" customHeight="1" x14ac:dyDescent="0.2">
      <c r="A108" s="153">
        <v>81</v>
      </c>
      <c r="B108" s="472"/>
      <c r="C108" s="473"/>
      <c r="D108" s="473"/>
      <c r="E108" s="473"/>
      <c r="F108" s="473"/>
      <c r="G108" s="473"/>
      <c r="H108" s="473"/>
      <c r="I108" s="473"/>
      <c r="J108" s="474"/>
      <c r="K108" s="475"/>
      <c r="L108" s="477"/>
      <c r="M108" s="477"/>
      <c r="N108" s="477"/>
      <c r="O108" s="477"/>
      <c r="P108" s="476"/>
      <c r="Q108" s="475"/>
      <c r="R108" s="476"/>
    </row>
    <row r="109" spans="1:18" ht="12" customHeight="1" x14ac:dyDescent="0.2">
      <c r="A109" s="153">
        <v>82</v>
      </c>
      <c r="B109" s="472"/>
      <c r="C109" s="473"/>
      <c r="D109" s="473"/>
      <c r="E109" s="473"/>
      <c r="F109" s="473"/>
      <c r="G109" s="473"/>
      <c r="H109" s="473"/>
      <c r="I109" s="473"/>
      <c r="J109" s="474"/>
      <c r="K109" s="475"/>
      <c r="L109" s="477"/>
      <c r="M109" s="477"/>
      <c r="N109" s="477"/>
      <c r="O109" s="477"/>
      <c r="P109" s="476"/>
      <c r="Q109" s="475"/>
      <c r="R109" s="476"/>
    </row>
    <row r="110" spans="1:18" ht="12" customHeight="1" x14ac:dyDescent="0.2">
      <c r="A110" s="153">
        <v>83</v>
      </c>
      <c r="B110" s="472"/>
      <c r="C110" s="473"/>
      <c r="D110" s="473"/>
      <c r="E110" s="473"/>
      <c r="F110" s="473"/>
      <c r="G110" s="473"/>
      <c r="H110" s="473"/>
      <c r="I110" s="473"/>
      <c r="J110" s="474"/>
      <c r="K110" s="475"/>
      <c r="L110" s="477"/>
      <c r="M110" s="477"/>
      <c r="N110" s="477"/>
      <c r="O110" s="477"/>
      <c r="P110" s="476"/>
      <c r="Q110" s="475"/>
      <c r="R110" s="476"/>
    </row>
    <row r="111" spans="1:18" ht="12" customHeight="1" x14ac:dyDescent="0.2">
      <c r="A111" s="153">
        <v>84</v>
      </c>
      <c r="B111" s="472"/>
      <c r="C111" s="473"/>
      <c r="D111" s="473"/>
      <c r="E111" s="473"/>
      <c r="F111" s="473"/>
      <c r="G111" s="473"/>
      <c r="H111" s="473"/>
      <c r="I111" s="473"/>
      <c r="J111" s="474"/>
      <c r="K111" s="475"/>
      <c r="L111" s="477"/>
      <c r="M111" s="477"/>
      <c r="N111" s="477"/>
      <c r="O111" s="477"/>
      <c r="P111" s="476"/>
      <c r="Q111" s="475"/>
      <c r="R111" s="476"/>
    </row>
    <row r="112" spans="1:18" ht="12" customHeight="1" x14ac:dyDescent="0.2">
      <c r="A112" s="153">
        <v>85</v>
      </c>
      <c r="B112" s="472"/>
      <c r="C112" s="473"/>
      <c r="D112" s="473"/>
      <c r="E112" s="473"/>
      <c r="F112" s="473"/>
      <c r="G112" s="473"/>
      <c r="H112" s="473"/>
      <c r="I112" s="473"/>
      <c r="J112" s="474"/>
      <c r="K112" s="475"/>
      <c r="L112" s="477"/>
      <c r="M112" s="477"/>
      <c r="N112" s="477"/>
      <c r="O112" s="477"/>
      <c r="P112" s="476"/>
      <c r="Q112" s="475"/>
      <c r="R112" s="476"/>
    </row>
    <row r="113" spans="1:18" ht="12" customHeight="1" x14ac:dyDescent="0.2">
      <c r="A113" s="153">
        <v>86</v>
      </c>
      <c r="B113" s="472"/>
      <c r="C113" s="473"/>
      <c r="D113" s="473"/>
      <c r="E113" s="473"/>
      <c r="F113" s="473"/>
      <c r="G113" s="473"/>
      <c r="H113" s="473"/>
      <c r="I113" s="473"/>
      <c r="J113" s="474"/>
      <c r="K113" s="475"/>
      <c r="L113" s="477"/>
      <c r="M113" s="477"/>
      <c r="N113" s="477"/>
      <c r="O113" s="477"/>
      <c r="P113" s="476"/>
      <c r="Q113" s="475"/>
      <c r="R113" s="476"/>
    </row>
    <row r="114" spans="1:18" ht="12" customHeight="1" x14ac:dyDescent="0.2">
      <c r="A114" s="153">
        <v>87</v>
      </c>
      <c r="B114" s="472"/>
      <c r="C114" s="473"/>
      <c r="D114" s="473"/>
      <c r="E114" s="473"/>
      <c r="F114" s="473"/>
      <c r="G114" s="473"/>
      <c r="H114" s="473"/>
      <c r="I114" s="473"/>
      <c r="J114" s="474"/>
      <c r="K114" s="475"/>
      <c r="L114" s="477"/>
      <c r="M114" s="477"/>
      <c r="N114" s="477"/>
      <c r="O114" s="477"/>
      <c r="P114" s="476"/>
      <c r="Q114" s="475"/>
      <c r="R114" s="476"/>
    </row>
    <row r="115" spans="1:18" ht="12" customHeight="1" x14ac:dyDescent="0.2">
      <c r="A115" s="153">
        <v>88</v>
      </c>
      <c r="B115" s="472"/>
      <c r="C115" s="473"/>
      <c r="D115" s="473"/>
      <c r="E115" s="473"/>
      <c r="F115" s="473"/>
      <c r="G115" s="473"/>
      <c r="H115" s="473"/>
      <c r="I115" s="473"/>
      <c r="J115" s="474"/>
      <c r="K115" s="475"/>
      <c r="L115" s="477"/>
      <c r="M115" s="477"/>
      <c r="N115" s="477"/>
      <c r="O115" s="477"/>
      <c r="P115" s="476"/>
      <c r="Q115" s="475"/>
      <c r="R115" s="476"/>
    </row>
    <row r="116" spans="1:18" ht="12" customHeight="1" x14ac:dyDescent="0.2">
      <c r="A116" s="153">
        <v>89</v>
      </c>
      <c r="B116" s="472"/>
      <c r="C116" s="473"/>
      <c r="D116" s="473"/>
      <c r="E116" s="473"/>
      <c r="F116" s="473"/>
      <c r="G116" s="473"/>
      <c r="H116" s="473"/>
      <c r="I116" s="473"/>
      <c r="J116" s="474"/>
      <c r="K116" s="475"/>
      <c r="L116" s="477"/>
      <c r="M116" s="477"/>
      <c r="N116" s="477"/>
      <c r="O116" s="477"/>
      <c r="P116" s="476"/>
      <c r="Q116" s="475"/>
      <c r="R116" s="476"/>
    </row>
    <row r="117" spans="1:18" ht="12" customHeight="1" x14ac:dyDescent="0.2">
      <c r="A117" s="153">
        <v>90</v>
      </c>
      <c r="B117" s="472"/>
      <c r="C117" s="473"/>
      <c r="D117" s="473"/>
      <c r="E117" s="473"/>
      <c r="F117" s="473"/>
      <c r="G117" s="473"/>
      <c r="H117" s="473"/>
      <c r="I117" s="473"/>
      <c r="J117" s="474"/>
      <c r="K117" s="475"/>
      <c r="L117" s="477"/>
      <c r="M117" s="477"/>
      <c r="N117" s="477"/>
      <c r="O117" s="477"/>
      <c r="P117" s="476"/>
      <c r="Q117" s="475"/>
      <c r="R117" s="476"/>
    </row>
    <row r="118" spans="1:18" ht="12" customHeight="1" x14ac:dyDescent="0.2">
      <c r="A118" s="153">
        <v>91</v>
      </c>
      <c r="B118" s="472"/>
      <c r="C118" s="473"/>
      <c r="D118" s="473"/>
      <c r="E118" s="473"/>
      <c r="F118" s="473"/>
      <c r="G118" s="473"/>
      <c r="H118" s="473"/>
      <c r="I118" s="473"/>
      <c r="J118" s="474"/>
      <c r="K118" s="475"/>
      <c r="L118" s="477"/>
      <c r="M118" s="477"/>
      <c r="N118" s="477"/>
      <c r="O118" s="477"/>
      <c r="P118" s="476"/>
      <c r="Q118" s="475"/>
      <c r="R118" s="476"/>
    </row>
    <row r="119" spans="1:18" ht="12" customHeight="1" x14ac:dyDescent="0.2">
      <c r="A119" s="153">
        <v>92</v>
      </c>
      <c r="B119" s="472"/>
      <c r="C119" s="473"/>
      <c r="D119" s="473"/>
      <c r="E119" s="473"/>
      <c r="F119" s="473"/>
      <c r="G119" s="473"/>
      <c r="H119" s="473"/>
      <c r="I119" s="473"/>
      <c r="J119" s="474"/>
      <c r="K119" s="475"/>
      <c r="L119" s="477"/>
      <c r="M119" s="477"/>
      <c r="N119" s="477"/>
      <c r="O119" s="477"/>
      <c r="P119" s="476"/>
      <c r="Q119" s="475"/>
      <c r="R119" s="476"/>
    </row>
    <row r="120" spans="1:18" ht="12" customHeight="1" x14ac:dyDescent="0.2">
      <c r="A120" s="153">
        <v>93</v>
      </c>
      <c r="B120" s="472"/>
      <c r="C120" s="473"/>
      <c r="D120" s="473"/>
      <c r="E120" s="473"/>
      <c r="F120" s="473"/>
      <c r="G120" s="473"/>
      <c r="H120" s="473"/>
      <c r="I120" s="473"/>
      <c r="J120" s="474"/>
      <c r="K120" s="475"/>
      <c r="L120" s="477"/>
      <c r="M120" s="477"/>
      <c r="N120" s="477"/>
      <c r="O120" s="477"/>
      <c r="P120" s="476"/>
      <c r="Q120" s="475"/>
      <c r="R120" s="476"/>
    </row>
    <row r="121" spans="1:18" ht="12" customHeight="1" x14ac:dyDescent="0.2">
      <c r="A121" s="153">
        <v>94</v>
      </c>
      <c r="B121" s="472"/>
      <c r="C121" s="473"/>
      <c r="D121" s="473"/>
      <c r="E121" s="473"/>
      <c r="F121" s="473"/>
      <c r="G121" s="473"/>
      <c r="H121" s="473"/>
      <c r="I121" s="473"/>
      <c r="J121" s="474"/>
      <c r="K121" s="475"/>
      <c r="L121" s="477"/>
      <c r="M121" s="477"/>
      <c r="N121" s="477"/>
      <c r="O121" s="477"/>
      <c r="P121" s="476"/>
      <c r="Q121" s="475"/>
      <c r="R121" s="476"/>
    </row>
    <row r="122" spans="1:18" ht="12" customHeight="1" x14ac:dyDescent="0.2">
      <c r="A122" s="153">
        <v>95</v>
      </c>
      <c r="B122" s="472"/>
      <c r="C122" s="473"/>
      <c r="D122" s="473"/>
      <c r="E122" s="473"/>
      <c r="F122" s="473"/>
      <c r="G122" s="473"/>
      <c r="H122" s="473"/>
      <c r="I122" s="473"/>
      <c r="J122" s="474"/>
      <c r="K122" s="475"/>
      <c r="L122" s="477"/>
      <c r="M122" s="477"/>
      <c r="N122" s="477"/>
      <c r="O122" s="477"/>
      <c r="P122" s="476"/>
      <c r="Q122" s="475"/>
      <c r="R122" s="476"/>
    </row>
    <row r="123" spans="1:18" ht="12" customHeight="1" x14ac:dyDescent="0.2">
      <c r="A123" s="153">
        <v>96</v>
      </c>
      <c r="B123" s="472"/>
      <c r="C123" s="473"/>
      <c r="D123" s="473"/>
      <c r="E123" s="473"/>
      <c r="F123" s="473"/>
      <c r="G123" s="473"/>
      <c r="H123" s="473"/>
      <c r="I123" s="473"/>
      <c r="J123" s="474"/>
      <c r="K123" s="475"/>
      <c r="L123" s="477"/>
      <c r="M123" s="477"/>
      <c r="N123" s="477"/>
      <c r="O123" s="477"/>
      <c r="P123" s="476"/>
      <c r="Q123" s="475"/>
      <c r="R123" s="476"/>
    </row>
    <row r="124" spans="1:18" ht="12" customHeight="1" x14ac:dyDescent="0.2">
      <c r="A124" s="153">
        <v>97</v>
      </c>
      <c r="B124" s="472"/>
      <c r="C124" s="473"/>
      <c r="D124" s="473"/>
      <c r="E124" s="473"/>
      <c r="F124" s="473"/>
      <c r="G124" s="473"/>
      <c r="H124" s="473"/>
      <c r="I124" s="473"/>
      <c r="J124" s="474"/>
      <c r="K124" s="475"/>
      <c r="L124" s="477"/>
      <c r="M124" s="477"/>
      <c r="N124" s="477"/>
      <c r="O124" s="477"/>
      <c r="P124" s="476"/>
      <c r="Q124" s="475"/>
      <c r="R124" s="476"/>
    </row>
    <row r="125" spans="1:18" ht="12" customHeight="1" x14ac:dyDescent="0.2">
      <c r="A125" s="153">
        <v>98</v>
      </c>
      <c r="B125" s="472"/>
      <c r="C125" s="473"/>
      <c r="D125" s="473"/>
      <c r="E125" s="473"/>
      <c r="F125" s="473"/>
      <c r="G125" s="473"/>
      <c r="H125" s="473"/>
      <c r="I125" s="473"/>
      <c r="J125" s="474"/>
      <c r="K125" s="475"/>
      <c r="L125" s="477"/>
      <c r="M125" s="477"/>
      <c r="N125" s="477"/>
      <c r="O125" s="477"/>
      <c r="P125" s="476"/>
      <c r="Q125" s="475"/>
      <c r="R125" s="476"/>
    </row>
    <row r="126" spans="1:18" ht="12" customHeight="1" x14ac:dyDescent="0.2">
      <c r="A126" s="153">
        <v>99</v>
      </c>
      <c r="B126" s="472"/>
      <c r="C126" s="473"/>
      <c r="D126" s="473"/>
      <c r="E126" s="473"/>
      <c r="F126" s="473"/>
      <c r="G126" s="473"/>
      <c r="H126" s="473"/>
      <c r="I126" s="473"/>
      <c r="J126" s="474"/>
      <c r="K126" s="475"/>
      <c r="L126" s="477"/>
      <c r="M126" s="477"/>
      <c r="N126" s="477"/>
      <c r="O126" s="477"/>
      <c r="P126" s="476"/>
      <c r="Q126" s="475"/>
      <c r="R126" s="476"/>
    </row>
    <row r="127" spans="1:18" ht="12" customHeight="1" x14ac:dyDescent="0.2">
      <c r="A127" s="153">
        <v>100</v>
      </c>
      <c r="B127" s="472"/>
      <c r="C127" s="473"/>
      <c r="D127" s="473"/>
      <c r="E127" s="473"/>
      <c r="F127" s="473"/>
      <c r="G127" s="473"/>
      <c r="H127" s="473"/>
      <c r="I127" s="473"/>
      <c r="J127" s="474"/>
      <c r="K127" s="475"/>
      <c r="L127" s="477"/>
      <c r="M127" s="477"/>
      <c r="N127" s="477"/>
      <c r="O127" s="477"/>
      <c r="P127" s="476"/>
      <c r="Q127" s="475"/>
      <c r="R127" s="476"/>
    </row>
    <row r="128" spans="1:18" ht="12" customHeight="1" x14ac:dyDescent="0.2">
      <c r="A128" s="153">
        <v>101</v>
      </c>
      <c r="B128" s="472" t="str">
        <f ca="1">IFERROR(INDEX(MasterDwgNumber,A128,1),"")</f>
        <v/>
      </c>
      <c r="C128" s="473"/>
      <c r="D128" s="473"/>
      <c r="E128" s="473"/>
      <c r="F128" s="473"/>
      <c r="G128" s="473"/>
      <c r="H128" s="473"/>
      <c r="I128" s="473"/>
      <c r="J128" s="474"/>
      <c r="K128" s="475"/>
      <c r="L128" s="477"/>
      <c r="M128" s="477"/>
      <c r="N128" s="477"/>
      <c r="O128" s="477"/>
      <c r="P128" s="476"/>
      <c r="Q128" s="475"/>
      <c r="R128" s="476"/>
    </row>
    <row r="129" spans="1:18" ht="12" customHeight="1" x14ac:dyDescent="0.2">
      <c r="A129" s="154">
        <v>102</v>
      </c>
      <c r="B129" s="466"/>
      <c r="C129" s="467"/>
      <c r="D129" s="467"/>
      <c r="E129" s="467"/>
      <c r="F129" s="467"/>
      <c r="G129" s="467"/>
      <c r="H129" s="467"/>
      <c r="I129" s="467"/>
      <c r="J129" s="468"/>
      <c r="K129" s="469"/>
      <c r="L129" s="471"/>
      <c r="M129" s="471"/>
      <c r="N129" s="471"/>
      <c r="O129" s="471"/>
      <c r="P129" s="470"/>
      <c r="Q129" s="469"/>
      <c r="R129" s="470"/>
    </row>
    <row r="130" spans="1:18" ht="12" customHeight="1" x14ac:dyDescent="0.2">
      <c r="A130" s="154">
        <v>103</v>
      </c>
      <c r="B130" s="466"/>
      <c r="C130" s="467"/>
      <c r="D130" s="467"/>
      <c r="E130" s="467"/>
      <c r="F130" s="467"/>
      <c r="G130" s="467"/>
      <c r="H130" s="467"/>
      <c r="I130" s="467"/>
      <c r="J130" s="468"/>
      <c r="K130" s="469"/>
      <c r="L130" s="471"/>
      <c r="M130" s="471"/>
      <c r="N130" s="471"/>
      <c r="O130" s="471"/>
      <c r="P130" s="470"/>
      <c r="Q130" s="469"/>
      <c r="R130" s="470"/>
    </row>
    <row r="131" spans="1:18" ht="12" customHeight="1" x14ac:dyDescent="0.2">
      <c r="A131" s="154">
        <v>104</v>
      </c>
      <c r="B131" s="466"/>
      <c r="C131" s="467"/>
      <c r="D131" s="467"/>
      <c r="E131" s="467"/>
      <c r="F131" s="467"/>
      <c r="G131" s="467"/>
      <c r="H131" s="467"/>
      <c r="I131" s="467"/>
      <c r="J131" s="468"/>
      <c r="K131" s="469"/>
      <c r="L131" s="471"/>
      <c r="M131" s="471"/>
      <c r="N131" s="471"/>
      <c r="O131" s="471"/>
      <c r="P131" s="470"/>
      <c r="Q131" s="469"/>
      <c r="R131" s="470"/>
    </row>
    <row r="132" spans="1:18" ht="12" customHeight="1" x14ac:dyDescent="0.2">
      <c r="A132" s="154">
        <v>105</v>
      </c>
      <c r="B132" s="466"/>
      <c r="C132" s="467"/>
      <c r="D132" s="467"/>
      <c r="E132" s="467"/>
      <c r="F132" s="467"/>
      <c r="G132" s="467"/>
      <c r="H132" s="467"/>
      <c r="I132" s="467"/>
      <c r="J132" s="468"/>
      <c r="K132" s="469"/>
      <c r="L132" s="471"/>
      <c r="M132" s="471"/>
      <c r="N132" s="471"/>
      <c r="O132" s="471"/>
      <c r="P132" s="470"/>
      <c r="Q132" s="469"/>
      <c r="R132" s="470"/>
    </row>
    <row r="133" spans="1:18" ht="12" customHeight="1" x14ac:dyDescent="0.2">
      <c r="A133" s="154">
        <v>106</v>
      </c>
      <c r="B133" s="466"/>
      <c r="C133" s="467"/>
      <c r="D133" s="467"/>
      <c r="E133" s="467"/>
      <c r="F133" s="467"/>
      <c r="G133" s="467"/>
      <c r="H133" s="467"/>
      <c r="I133" s="467"/>
      <c r="J133" s="468"/>
      <c r="K133" s="469"/>
      <c r="L133" s="471"/>
      <c r="M133" s="471"/>
      <c r="N133" s="471"/>
      <c r="O133" s="471"/>
      <c r="P133" s="470"/>
      <c r="Q133" s="469"/>
      <c r="R133" s="470"/>
    </row>
    <row r="134" spans="1:18" ht="12" customHeight="1" x14ac:dyDescent="0.2">
      <c r="A134" s="154">
        <v>107</v>
      </c>
      <c r="B134" s="466"/>
      <c r="C134" s="467"/>
      <c r="D134" s="467"/>
      <c r="E134" s="467"/>
      <c r="F134" s="467"/>
      <c r="G134" s="467"/>
      <c r="H134" s="467"/>
      <c r="I134" s="467"/>
      <c r="J134" s="468"/>
      <c r="K134" s="469"/>
      <c r="L134" s="471"/>
      <c r="M134" s="471"/>
      <c r="N134" s="471"/>
      <c r="O134" s="471"/>
      <c r="P134" s="470"/>
      <c r="Q134" s="469"/>
      <c r="R134" s="470"/>
    </row>
    <row r="135" spans="1:18" ht="12" customHeight="1" x14ac:dyDescent="0.2">
      <c r="A135" s="154">
        <v>108</v>
      </c>
      <c r="B135" s="466"/>
      <c r="C135" s="467"/>
      <c r="D135" s="467"/>
      <c r="E135" s="467"/>
      <c r="F135" s="467"/>
      <c r="G135" s="467"/>
      <c r="H135" s="467"/>
      <c r="I135" s="467"/>
      <c r="J135" s="468"/>
      <c r="K135" s="469"/>
      <c r="L135" s="471"/>
      <c r="M135" s="471"/>
      <c r="N135" s="471"/>
      <c r="O135" s="471"/>
      <c r="P135" s="470"/>
      <c r="Q135" s="469"/>
      <c r="R135" s="470"/>
    </row>
    <row r="136" spans="1:18" ht="12" customHeight="1" x14ac:dyDescent="0.2">
      <c r="A136" s="154">
        <v>109</v>
      </c>
      <c r="B136" s="466"/>
      <c r="C136" s="467"/>
      <c r="D136" s="467"/>
      <c r="E136" s="467"/>
      <c r="F136" s="467"/>
      <c r="G136" s="467"/>
      <c r="H136" s="467"/>
      <c r="I136" s="467"/>
      <c r="J136" s="468"/>
      <c r="K136" s="469"/>
      <c r="L136" s="471"/>
      <c r="M136" s="471"/>
      <c r="N136" s="471"/>
      <c r="O136" s="471"/>
      <c r="P136" s="470"/>
      <c r="Q136" s="469"/>
      <c r="R136" s="470"/>
    </row>
    <row r="137" spans="1:18" ht="12" customHeight="1" x14ac:dyDescent="0.2">
      <c r="A137" s="154">
        <v>110</v>
      </c>
      <c r="B137" s="466"/>
      <c r="C137" s="467"/>
      <c r="D137" s="467"/>
      <c r="E137" s="467"/>
      <c r="F137" s="467"/>
      <c r="G137" s="467"/>
      <c r="H137" s="467"/>
      <c r="I137" s="467"/>
      <c r="J137" s="468"/>
      <c r="K137" s="469"/>
      <c r="L137" s="471"/>
      <c r="M137" s="471"/>
      <c r="N137" s="471"/>
      <c r="O137" s="471"/>
      <c r="P137" s="470"/>
      <c r="Q137" s="469"/>
      <c r="R137" s="470"/>
    </row>
    <row r="138" spans="1:18" ht="12" customHeight="1" x14ac:dyDescent="0.2">
      <c r="A138" s="154">
        <v>111</v>
      </c>
      <c r="B138" s="466"/>
      <c r="C138" s="467"/>
      <c r="D138" s="467"/>
      <c r="E138" s="467"/>
      <c r="F138" s="467"/>
      <c r="G138" s="467"/>
      <c r="H138" s="467"/>
      <c r="I138" s="467"/>
      <c r="J138" s="468"/>
      <c r="K138" s="469"/>
      <c r="L138" s="471"/>
      <c r="M138" s="471"/>
      <c r="N138" s="471"/>
      <c r="O138" s="471"/>
      <c r="P138" s="470"/>
      <c r="Q138" s="469"/>
      <c r="R138" s="470"/>
    </row>
    <row r="139" spans="1:18" ht="15" customHeight="1" x14ac:dyDescent="0.2">
      <c r="B139" s="464"/>
      <c r="C139" s="464"/>
      <c r="D139" s="464"/>
      <c r="E139" s="464"/>
      <c r="F139" s="464"/>
      <c r="G139" s="464"/>
      <c r="H139" s="464"/>
      <c r="I139" s="464"/>
      <c r="J139" s="464"/>
      <c r="K139" s="465"/>
      <c r="L139" s="465"/>
      <c r="M139" s="465"/>
      <c r="N139" s="465"/>
      <c r="O139" s="465"/>
      <c r="P139" s="465"/>
      <c r="Q139" s="465"/>
      <c r="R139" s="465"/>
    </row>
    <row r="140" spans="1:18" ht="15" customHeight="1" x14ac:dyDescent="0.2">
      <c r="B140" s="462"/>
      <c r="C140" s="462"/>
      <c r="D140" s="462"/>
      <c r="E140" s="462"/>
      <c r="F140" s="462"/>
      <c r="G140" s="462"/>
      <c r="H140" s="462"/>
      <c r="I140" s="462"/>
      <c r="J140" s="462"/>
      <c r="K140" s="463"/>
      <c r="L140" s="463"/>
      <c r="M140" s="463"/>
      <c r="N140" s="463"/>
      <c r="O140" s="463"/>
      <c r="P140" s="463"/>
      <c r="Q140" s="463"/>
      <c r="R140" s="463"/>
    </row>
    <row r="141" spans="1:18" ht="15" customHeight="1" x14ac:dyDescent="0.2">
      <c r="B141" s="462"/>
      <c r="C141" s="462"/>
      <c r="D141" s="462"/>
      <c r="E141" s="462"/>
      <c r="F141" s="462"/>
      <c r="G141" s="462"/>
      <c r="H141" s="462"/>
      <c r="I141" s="462"/>
      <c r="J141" s="462"/>
      <c r="K141" s="463"/>
      <c r="L141" s="463"/>
      <c r="M141" s="463"/>
      <c r="N141" s="463"/>
      <c r="O141" s="463"/>
      <c r="P141" s="463"/>
      <c r="Q141" s="463"/>
      <c r="R141" s="463"/>
    </row>
    <row r="142" spans="1:18" ht="15" customHeight="1" x14ac:dyDescent="0.2">
      <c r="B142" s="462"/>
      <c r="C142" s="462"/>
      <c r="D142" s="462"/>
      <c r="E142" s="462"/>
      <c r="F142" s="462"/>
      <c r="G142" s="462"/>
      <c r="H142" s="462"/>
      <c r="I142" s="462"/>
      <c r="J142" s="462"/>
      <c r="K142" s="463"/>
      <c r="L142" s="463"/>
      <c r="M142" s="463"/>
      <c r="N142" s="463"/>
      <c r="O142" s="463"/>
      <c r="P142" s="463"/>
      <c r="Q142" s="463"/>
      <c r="R142" s="463"/>
    </row>
    <row r="143" spans="1:18" ht="15" customHeight="1" x14ac:dyDescent="0.2">
      <c r="B143" s="462"/>
      <c r="C143" s="462"/>
      <c r="D143" s="462"/>
      <c r="E143" s="462"/>
      <c r="F143" s="462"/>
      <c r="G143" s="462"/>
      <c r="H143" s="462"/>
      <c r="I143" s="462"/>
      <c r="J143" s="462"/>
      <c r="K143" s="463"/>
      <c r="L143" s="463"/>
      <c r="M143" s="463"/>
      <c r="N143" s="463"/>
      <c r="O143" s="463"/>
      <c r="P143" s="463"/>
      <c r="Q143" s="463"/>
      <c r="R143" s="463"/>
    </row>
    <row r="144" spans="1:18" ht="15" customHeight="1" x14ac:dyDescent="0.2">
      <c r="B144" s="462"/>
      <c r="C144" s="462"/>
      <c r="D144" s="462"/>
      <c r="E144" s="462"/>
      <c r="F144" s="462"/>
      <c r="G144" s="462"/>
      <c r="H144" s="462"/>
      <c r="I144" s="462"/>
      <c r="J144" s="462"/>
      <c r="K144" s="463"/>
      <c r="L144" s="463"/>
      <c r="M144" s="463"/>
      <c r="N144" s="463"/>
      <c r="O144" s="463"/>
      <c r="P144" s="463"/>
      <c r="Q144" s="463"/>
      <c r="R144" s="463"/>
    </row>
    <row r="145" spans="2:18" ht="15" customHeight="1" x14ac:dyDescent="0.2">
      <c r="B145" s="462"/>
      <c r="C145" s="462"/>
      <c r="D145" s="462"/>
      <c r="E145" s="462"/>
      <c r="F145" s="462"/>
      <c r="G145" s="462"/>
      <c r="H145" s="462"/>
      <c r="I145" s="462"/>
      <c r="J145" s="462"/>
      <c r="K145" s="463"/>
      <c r="L145" s="463"/>
      <c r="M145" s="463"/>
      <c r="N145" s="463"/>
      <c r="O145" s="463"/>
      <c r="P145" s="463"/>
      <c r="Q145" s="463"/>
      <c r="R145" s="463"/>
    </row>
    <row r="146" spans="2:18" ht="15" customHeight="1" x14ac:dyDescent="0.2">
      <c r="B146" s="462"/>
      <c r="C146" s="462"/>
      <c r="D146" s="462"/>
      <c r="E146" s="462"/>
      <c r="F146" s="462"/>
      <c r="G146" s="462"/>
      <c r="H146" s="462"/>
      <c r="I146" s="462"/>
      <c r="J146" s="462"/>
      <c r="K146" s="463"/>
      <c r="L146" s="463"/>
      <c r="M146" s="463"/>
      <c r="N146" s="463"/>
      <c r="O146" s="463"/>
      <c r="P146" s="463"/>
      <c r="Q146" s="463"/>
      <c r="R146" s="463"/>
    </row>
    <row r="147" spans="2:18" ht="15" customHeight="1" x14ac:dyDescent="0.2">
      <c r="B147" s="462"/>
      <c r="C147" s="462"/>
      <c r="D147" s="462"/>
      <c r="E147" s="462"/>
      <c r="F147" s="462"/>
      <c r="G147" s="462"/>
      <c r="H147" s="462"/>
      <c r="I147" s="462"/>
      <c r="J147" s="462"/>
      <c r="K147" s="463"/>
      <c r="L147" s="463"/>
      <c r="M147" s="463"/>
      <c r="N147" s="463"/>
      <c r="O147" s="463"/>
      <c r="P147" s="463"/>
      <c r="Q147" s="463"/>
      <c r="R147" s="463"/>
    </row>
  </sheetData>
  <sheetProtection insertRows="0" deleteRows="0" selectLockedCells="1"/>
  <mergeCells count="365">
    <mergeCell ref="K8:R8"/>
    <mergeCell ref="Q27:R27"/>
    <mergeCell ref="K27:P27"/>
    <mergeCell ref="B27:J27"/>
    <mergeCell ref="B28:J28"/>
    <mergeCell ref="Q28:R28"/>
    <mergeCell ref="K28:P28"/>
    <mergeCell ref="A26:R26"/>
    <mergeCell ref="B31:J31"/>
    <mergeCell ref="Q31:R31"/>
    <mergeCell ref="K31:P31"/>
    <mergeCell ref="B32:J32"/>
    <mergeCell ref="Q32:R32"/>
    <mergeCell ref="K32:P32"/>
    <mergeCell ref="B29:J29"/>
    <mergeCell ref="Q29:R29"/>
    <mergeCell ref="K29:P29"/>
    <mergeCell ref="B30:J30"/>
    <mergeCell ref="Q30:R30"/>
    <mergeCell ref="K30:P30"/>
    <mergeCell ref="B35:J35"/>
    <mergeCell ref="Q35:R35"/>
    <mergeCell ref="K35:P35"/>
    <mergeCell ref="B36:J36"/>
    <mergeCell ref="Q36:R36"/>
    <mergeCell ref="K36:P36"/>
    <mergeCell ref="B33:J33"/>
    <mergeCell ref="Q33:R33"/>
    <mergeCell ref="K33:P33"/>
    <mergeCell ref="B34:J34"/>
    <mergeCell ref="Q34:R34"/>
    <mergeCell ref="K34:P34"/>
    <mergeCell ref="B39:J39"/>
    <mergeCell ref="Q39:R39"/>
    <mergeCell ref="K39:P39"/>
    <mergeCell ref="B40:J40"/>
    <mergeCell ref="Q40:R40"/>
    <mergeCell ref="K40:P40"/>
    <mergeCell ref="B37:J37"/>
    <mergeCell ref="Q37:R37"/>
    <mergeCell ref="K37:P37"/>
    <mergeCell ref="B38:J38"/>
    <mergeCell ref="Q38:R38"/>
    <mergeCell ref="K38:P38"/>
    <mergeCell ref="B43:J43"/>
    <mergeCell ref="Q43:R43"/>
    <mergeCell ref="K43:P43"/>
    <mergeCell ref="B44:J44"/>
    <mergeCell ref="Q44:R44"/>
    <mergeCell ref="K44:P44"/>
    <mergeCell ref="B41:J41"/>
    <mergeCell ref="Q41:R41"/>
    <mergeCell ref="K41:P41"/>
    <mergeCell ref="B42:J42"/>
    <mergeCell ref="Q42:R42"/>
    <mergeCell ref="K42:P42"/>
    <mergeCell ref="B47:J47"/>
    <mergeCell ref="Q47:R47"/>
    <mergeCell ref="K47:P47"/>
    <mergeCell ref="B48:J48"/>
    <mergeCell ref="Q48:R48"/>
    <mergeCell ref="K48:P48"/>
    <mergeCell ref="B45:J45"/>
    <mergeCell ref="Q45:R45"/>
    <mergeCell ref="K45:P45"/>
    <mergeCell ref="B46:J46"/>
    <mergeCell ref="Q46:R46"/>
    <mergeCell ref="K46:P46"/>
    <mergeCell ref="B51:J51"/>
    <mergeCell ref="Q51:R51"/>
    <mergeCell ref="K51:P51"/>
    <mergeCell ref="B52:J52"/>
    <mergeCell ref="Q52:R52"/>
    <mergeCell ref="K52:P52"/>
    <mergeCell ref="B49:J49"/>
    <mergeCell ref="Q49:R49"/>
    <mergeCell ref="K49:P49"/>
    <mergeCell ref="B50:J50"/>
    <mergeCell ref="Q50:R50"/>
    <mergeCell ref="K50:P50"/>
    <mergeCell ref="B55:J55"/>
    <mergeCell ref="Q55:R55"/>
    <mergeCell ref="K55:P55"/>
    <mergeCell ref="B56:J56"/>
    <mergeCell ref="Q56:R56"/>
    <mergeCell ref="K56:P56"/>
    <mergeCell ref="B53:J53"/>
    <mergeCell ref="Q53:R53"/>
    <mergeCell ref="K53:P53"/>
    <mergeCell ref="B54:J54"/>
    <mergeCell ref="Q54:R54"/>
    <mergeCell ref="K54:P54"/>
    <mergeCell ref="B59:J59"/>
    <mergeCell ref="Q59:R59"/>
    <mergeCell ref="K59:P59"/>
    <mergeCell ref="B60:J60"/>
    <mergeCell ref="Q60:R60"/>
    <mergeCell ref="K60:P60"/>
    <mergeCell ref="B57:J57"/>
    <mergeCell ref="Q57:R57"/>
    <mergeCell ref="K57:P57"/>
    <mergeCell ref="B58:J58"/>
    <mergeCell ref="Q58:R58"/>
    <mergeCell ref="K58:P58"/>
    <mergeCell ref="B63:J63"/>
    <mergeCell ref="Q63:R63"/>
    <mergeCell ref="K63:P63"/>
    <mergeCell ref="B64:J64"/>
    <mergeCell ref="Q64:R64"/>
    <mergeCell ref="K64:P64"/>
    <mergeCell ref="B61:J61"/>
    <mergeCell ref="Q61:R61"/>
    <mergeCell ref="K61:P61"/>
    <mergeCell ref="B62:J62"/>
    <mergeCell ref="Q62:R62"/>
    <mergeCell ref="K62:P62"/>
    <mergeCell ref="B67:J67"/>
    <mergeCell ref="Q67:R67"/>
    <mergeCell ref="K67:P67"/>
    <mergeCell ref="B68:J68"/>
    <mergeCell ref="Q68:R68"/>
    <mergeCell ref="K68:P68"/>
    <mergeCell ref="B65:J65"/>
    <mergeCell ref="Q65:R65"/>
    <mergeCell ref="K65:P65"/>
    <mergeCell ref="B66:J66"/>
    <mergeCell ref="Q66:R66"/>
    <mergeCell ref="K66:P66"/>
    <mergeCell ref="B71:J71"/>
    <mergeCell ref="Q71:R71"/>
    <mergeCell ref="K71:P71"/>
    <mergeCell ref="B72:J72"/>
    <mergeCell ref="Q72:R72"/>
    <mergeCell ref="K72:P72"/>
    <mergeCell ref="B69:J69"/>
    <mergeCell ref="Q69:R69"/>
    <mergeCell ref="K69:P69"/>
    <mergeCell ref="B70:J70"/>
    <mergeCell ref="Q70:R70"/>
    <mergeCell ref="K70:P70"/>
    <mergeCell ref="B75:J75"/>
    <mergeCell ref="Q75:R75"/>
    <mergeCell ref="K75:P75"/>
    <mergeCell ref="B76:J76"/>
    <mergeCell ref="Q76:R76"/>
    <mergeCell ref="K76:P76"/>
    <mergeCell ref="B73:J73"/>
    <mergeCell ref="Q73:R73"/>
    <mergeCell ref="K73:P73"/>
    <mergeCell ref="B74:J74"/>
    <mergeCell ref="Q74:R74"/>
    <mergeCell ref="K74:P74"/>
    <mergeCell ref="B79:J79"/>
    <mergeCell ref="Q79:R79"/>
    <mergeCell ref="K79:P79"/>
    <mergeCell ref="B80:J80"/>
    <mergeCell ref="Q80:R80"/>
    <mergeCell ref="K80:P80"/>
    <mergeCell ref="B77:J77"/>
    <mergeCell ref="Q77:R77"/>
    <mergeCell ref="K77:P77"/>
    <mergeCell ref="B78:J78"/>
    <mergeCell ref="Q78:R78"/>
    <mergeCell ref="K78:P78"/>
    <mergeCell ref="B83:J83"/>
    <mergeCell ref="Q83:R83"/>
    <mergeCell ref="K83:P83"/>
    <mergeCell ref="B84:J84"/>
    <mergeCell ref="Q84:R84"/>
    <mergeCell ref="K84:P84"/>
    <mergeCell ref="B81:J81"/>
    <mergeCell ref="Q81:R81"/>
    <mergeCell ref="K81:P81"/>
    <mergeCell ref="B82:J82"/>
    <mergeCell ref="Q82:R82"/>
    <mergeCell ref="K82:P82"/>
    <mergeCell ref="B87:J87"/>
    <mergeCell ref="Q87:R87"/>
    <mergeCell ref="K87:P87"/>
    <mergeCell ref="B88:J88"/>
    <mergeCell ref="Q88:R88"/>
    <mergeCell ref="K88:P88"/>
    <mergeCell ref="B85:J85"/>
    <mergeCell ref="Q85:R85"/>
    <mergeCell ref="K85:P85"/>
    <mergeCell ref="B86:J86"/>
    <mergeCell ref="Q86:R86"/>
    <mergeCell ref="K86:P86"/>
    <mergeCell ref="B91:J91"/>
    <mergeCell ref="Q91:R91"/>
    <mergeCell ref="K91:P91"/>
    <mergeCell ref="B92:J92"/>
    <mergeCell ref="Q92:R92"/>
    <mergeCell ref="K92:P92"/>
    <mergeCell ref="B89:J89"/>
    <mergeCell ref="Q89:R89"/>
    <mergeCell ref="K89:P89"/>
    <mergeCell ref="B90:J90"/>
    <mergeCell ref="Q90:R90"/>
    <mergeCell ref="K90:P90"/>
    <mergeCell ref="B95:J95"/>
    <mergeCell ref="Q95:R95"/>
    <mergeCell ref="K95:P95"/>
    <mergeCell ref="B96:J96"/>
    <mergeCell ref="Q96:R96"/>
    <mergeCell ref="K96:P96"/>
    <mergeCell ref="B93:J93"/>
    <mergeCell ref="Q93:R93"/>
    <mergeCell ref="K93:P93"/>
    <mergeCell ref="B94:J94"/>
    <mergeCell ref="Q94:R94"/>
    <mergeCell ref="K94:P94"/>
    <mergeCell ref="B99:J99"/>
    <mergeCell ref="Q99:R99"/>
    <mergeCell ref="K99:P99"/>
    <mergeCell ref="B100:J100"/>
    <mergeCell ref="Q100:R100"/>
    <mergeCell ref="K100:P100"/>
    <mergeCell ref="B97:J97"/>
    <mergeCell ref="Q97:R97"/>
    <mergeCell ref="K97:P97"/>
    <mergeCell ref="B98:J98"/>
    <mergeCell ref="Q98:R98"/>
    <mergeCell ref="K98:P98"/>
    <mergeCell ref="B103:J103"/>
    <mergeCell ref="Q103:R103"/>
    <mergeCell ref="K103:P103"/>
    <mergeCell ref="B104:J104"/>
    <mergeCell ref="Q104:R104"/>
    <mergeCell ref="K104:P104"/>
    <mergeCell ref="B101:J101"/>
    <mergeCell ref="Q101:R101"/>
    <mergeCell ref="K101:P101"/>
    <mergeCell ref="B102:J102"/>
    <mergeCell ref="Q102:R102"/>
    <mergeCell ref="K102:P102"/>
    <mergeCell ref="B107:J107"/>
    <mergeCell ref="Q107:R107"/>
    <mergeCell ref="K107:P107"/>
    <mergeCell ref="B108:J108"/>
    <mergeCell ref="Q108:R108"/>
    <mergeCell ref="K108:P108"/>
    <mergeCell ref="B105:J105"/>
    <mergeCell ref="Q105:R105"/>
    <mergeCell ref="K105:P105"/>
    <mergeCell ref="B106:J106"/>
    <mergeCell ref="Q106:R106"/>
    <mergeCell ref="K106:P106"/>
    <mergeCell ref="B111:J111"/>
    <mergeCell ref="Q111:R111"/>
    <mergeCell ref="K111:P111"/>
    <mergeCell ref="B112:J112"/>
    <mergeCell ref="Q112:R112"/>
    <mergeCell ref="K112:P112"/>
    <mergeCell ref="B109:J109"/>
    <mergeCell ref="Q109:R109"/>
    <mergeCell ref="K109:P109"/>
    <mergeCell ref="B110:J110"/>
    <mergeCell ref="Q110:R110"/>
    <mergeCell ref="K110:P110"/>
    <mergeCell ref="B115:J115"/>
    <mergeCell ref="Q115:R115"/>
    <mergeCell ref="K115:P115"/>
    <mergeCell ref="B116:J116"/>
    <mergeCell ref="Q116:R116"/>
    <mergeCell ref="K116:P116"/>
    <mergeCell ref="B113:J113"/>
    <mergeCell ref="Q113:R113"/>
    <mergeCell ref="K113:P113"/>
    <mergeCell ref="B114:J114"/>
    <mergeCell ref="Q114:R114"/>
    <mergeCell ref="K114:P114"/>
    <mergeCell ref="B119:J119"/>
    <mergeCell ref="Q119:R119"/>
    <mergeCell ref="K119:P119"/>
    <mergeCell ref="B120:J120"/>
    <mergeCell ref="Q120:R120"/>
    <mergeCell ref="K120:P120"/>
    <mergeCell ref="B117:J117"/>
    <mergeCell ref="Q117:R117"/>
    <mergeCell ref="K117:P117"/>
    <mergeCell ref="B118:J118"/>
    <mergeCell ref="Q118:R118"/>
    <mergeCell ref="K118:P118"/>
    <mergeCell ref="B123:J123"/>
    <mergeCell ref="Q123:R123"/>
    <mergeCell ref="K123:P123"/>
    <mergeCell ref="B124:J124"/>
    <mergeCell ref="Q124:R124"/>
    <mergeCell ref="K124:P124"/>
    <mergeCell ref="B121:J121"/>
    <mergeCell ref="Q121:R121"/>
    <mergeCell ref="K121:P121"/>
    <mergeCell ref="B122:J122"/>
    <mergeCell ref="Q122:R122"/>
    <mergeCell ref="K122:P122"/>
    <mergeCell ref="B127:J127"/>
    <mergeCell ref="Q127:R127"/>
    <mergeCell ref="K127:P127"/>
    <mergeCell ref="B128:J128"/>
    <mergeCell ref="Q128:R128"/>
    <mergeCell ref="K128:P128"/>
    <mergeCell ref="B125:J125"/>
    <mergeCell ref="Q125:R125"/>
    <mergeCell ref="K125:P125"/>
    <mergeCell ref="B126:J126"/>
    <mergeCell ref="Q126:R126"/>
    <mergeCell ref="K126:P126"/>
    <mergeCell ref="B131:J131"/>
    <mergeCell ref="Q131:R131"/>
    <mergeCell ref="K131:P131"/>
    <mergeCell ref="B132:J132"/>
    <mergeCell ref="Q132:R132"/>
    <mergeCell ref="K132:P132"/>
    <mergeCell ref="B129:J129"/>
    <mergeCell ref="Q129:R129"/>
    <mergeCell ref="K129:P129"/>
    <mergeCell ref="B130:J130"/>
    <mergeCell ref="Q130:R130"/>
    <mergeCell ref="K130:P130"/>
    <mergeCell ref="B135:J135"/>
    <mergeCell ref="Q135:R135"/>
    <mergeCell ref="K135:P135"/>
    <mergeCell ref="B136:J136"/>
    <mergeCell ref="Q136:R136"/>
    <mergeCell ref="K136:P136"/>
    <mergeCell ref="B133:J133"/>
    <mergeCell ref="Q133:R133"/>
    <mergeCell ref="K133:P133"/>
    <mergeCell ref="B134:J134"/>
    <mergeCell ref="Q134:R134"/>
    <mergeCell ref="K134:P134"/>
    <mergeCell ref="B139:J139"/>
    <mergeCell ref="Q139:R139"/>
    <mergeCell ref="K139:P139"/>
    <mergeCell ref="B140:J140"/>
    <mergeCell ref="Q140:R140"/>
    <mergeCell ref="K140:P140"/>
    <mergeCell ref="B137:J137"/>
    <mergeCell ref="Q137:R137"/>
    <mergeCell ref="K137:P137"/>
    <mergeCell ref="B138:J138"/>
    <mergeCell ref="Q138:R138"/>
    <mergeCell ref="K138:P138"/>
    <mergeCell ref="B143:J143"/>
    <mergeCell ref="Q143:R143"/>
    <mergeCell ref="K143:P143"/>
    <mergeCell ref="B144:J144"/>
    <mergeCell ref="Q144:R144"/>
    <mergeCell ref="K144:P144"/>
    <mergeCell ref="B141:J141"/>
    <mergeCell ref="Q141:R141"/>
    <mergeCell ref="K141:P141"/>
    <mergeCell ref="B142:J142"/>
    <mergeCell ref="Q142:R142"/>
    <mergeCell ref="K142:P142"/>
    <mergeCell ref="B147:J147"/>
    <mergeCell ref="Q147:R147"/>
    <mergeCell ref="K147:P147"/>
    <mergeCell ref="B145:J145"/>
    <mergeCell ref="Q145:R145"/>
    <mergeCell ref="K145:P145"/>
    <mergeCell ref="B146:J146"/>
    <mergeCell ref="Q146:R146"/>
    <mergeCell ref="K146:P146"/>
  </mergeCells>
  <dataValidations count="2">
    <dataValidation type="list" allowBlank="1" showInputMessage="1" showErrorMessage="1" sqref="G21:G24 N21:N24">
      <formula1>$V$2:$V$7</formula1>
    </dataValidation>
    <dataValidation type="list" allowBlank="1" showInputMessage="1" showErrorMessage="1" sqref="I21:I24 P21:P24">
      <formula1>$W$2:$W$4</formula1>
    </dataValidation>
  </dataValidations>
  <printOptions horizontalCentered="1"/>
  <pageMargins left="0.5" right="0.25" top="0.79625000000000001" bottom="0.5" header="0.3" footer="0.3"/>
  <pageSetup scale="91" orientation="portrait" r:id="rId1"/>
  <headerFooter differentFirst="1" alignWithMargins="0">
    <oddHeader xml:space="preserve">&amp;C&amp;"amlogo1,Regular"&amp;20
</oddHeader>
    <oddFooter>&amp;C&amp;P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92" r:id="rId4" name="Button 4">
              <controlPr defaultSize="0" print="0" autoFill="0" autoPict="0" macro="[0]!Sheet1.PrintMe" altText="PDF ME">
                <anchor moveWithCells="1" sizeWithCells="1">
                  <from>
                    <xdr:col>18</xdr:col>
                    <xdr:colOff>133350</xdr:colOff>
                    <xdr:row>3</xdr:row>
                    <xdr:rowOff>76200</xdr:rowOff>
                  </from>
                  <to>
                    <xdr:col>19</xdr:col>
                    <xdr:colOff>533400</xdr:colOff>
                    <xdr:row>5</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2:V412"/>
  <sheetViews>
    <sheetView showRuler="0" zoomScaleNormal="100" workbookViewId="0">
      <selection activeCell="J50" sqref="J50"/>
    </sheetView>
  </sheetViews>
  <sheetFormatPr defaultRowHeight="12.75" x14ac:dyDescent="0.2"/>
  <cols>
    <col min="1" max="1" width="7.42578125" style="72" customWidth="1"/>
    <col min="2" max="2" width="9.42578125" style="72" customWidth="1"/>
    <col min="3" max="5" width="9.140625" style="72"/>
    <col min="6" max="11" width="3.7109375" style="72" customWidth="1"/>
    <col min="12" max="13" width="3.5703125" style="72" customWidth="1"/>
    <col min="14" max="14" width="4.85546875" style="72" customWidth="1"/>
    <col min="15" max="15" width="3.7109375" style="72" customWidth="1"/>
    <col min="16" max="16" width="5.28515625" style="72" customWidth="1"/>
    <col min="17" max="17" width="0" style="72" hidden="1" customWidth="1"/>
    <col min="18" max="18" width="3.5703125" style="72" customWidth="1"/>
    <col min="19" max="19" width="3.42578125" style="72" customWidth="1"/>
    <col min="20" max="21" width="3.5703125" style="72" customWidth="1"/>
    <col min="22" max="256" width="9.140625" style="72"/>
    <col min="257" max="257" width="7.42578125" style="72" customWidth="1"/>
    <col min="258" max="258" width="9.42578125" style="72" customWidth="1"/>
    <col min="259" max="261" width="9.140625" style="72"/>
    <col min="262" max="267" width="3.7109375" style="72" customWidth="1"/>
    <col min="268" max="269" width="3.5703125" style="72" customWidth="1"/>
    <col min="270" max="270" width="4.85546875" style="72" customWidth="1"/>
    <col min="271" max="271" width="3.7109375" style="72" customWidth="1"/>
    <col min="272" max="272" width="5.28515625" style="72" customWidth="1"/>
    <col min="273" max="273" width="0" style="72" hidden="1" customWidth="1"/>
    <col min="274" max="274" width="3.5703125" style="72" customWidth="1"/>
    <col min="275" max="275" width="3.42578125" style="72" customWidth="1"/>
    <col min="276" max="277" width="3.5703125" style="72" customWidth="1"/>
    <col min="278" max="512" width="9.140625" style="72"/>
    <col min="513" max="513" width="7.42578125" style="72" customWidth="1"/>
    <col min="514" max="514" width="9.42578125" style="72" customWidth="1"/>
    <col min="515" max="517" width="9.140625" style="72"/>
    <col min="518" max="523" width="3.7109375" style="72" customWidth="1"/>
    <col min="524" max="525" width="3.5703125" style="72" customWidth="1"/>
    <col min="526" max="526" width="4.85546875" style="72" customWidth="1"/>
    <col min="527" max="527" width="3.7109375" style="72" customWidth="1"/>
    <col min="528" max="528" width="5.28515625" style="72" customWidth="1"/>
    <col min="529" max="529" width="0" style="72" hidden="1" customWidth="1"/>
    <col min="530" max="530" width="3.5703125" style="72" customWidth="1"/>
    <col min="531" max="531" width="3.42578125" style="72" customWidth="1"/>
    <col min="532" max="533" width="3.5703125" style="72" customWidth="1"/>
    <col min="534" max="768" width="9.140625" style="72"/>
    <col min="769" max="769" width="7.42578125" style="72" customWidth="1"/>
    <col min="770" max="770" width="9.42578125" style="72" customWidth="1"/>
    <col min="771" max="773" width="9.140625" style="72"/>
    <col min="774" max="779" width="3.7109375" style="72" customWidth="1"/>
    <col min="780" max="781" width="3.5703125" style="72" customWidth="1"/>
    <col min="782" max="782" width="4.85546875" style="72" customWidth="1"/>
    <col min="783" max="783" width="3.7109375" style="72" customWidth="1"/>
    <col min="784" max="784" width="5.28515625" style="72" customWidth="1"/>
    <col min="785" max="785" width="0" style="72" hidden="1" customWidth="1"/>
    <col min="786" max="786" width="3.5703125" style="72" customWidth="1"/>
    <col min="787" max="787" width="3.42578125" style="72" customWidth="1"/>
    <col min="788" max="789" width="3.5703125" style="72" customWidth="1"/>
    <col min="790" max="1024" width="9.140625" style="72"/>
    <col min="1025" max="1025" width="7.42578125" style="72" customWidth="1"/>
    <col min="1026" max="1026" width="9.42578125" style="72" customWidth="1"/>
    <col min="1027" max="1029" width="9.140625" style="72"/>
    <col min="1030" max="1035" width="3.7109375" style="72" customWidth="1"/>
    <col min="1036" max="1037" width="3.5703125" style="72" customWidth="1"/>
    <col min="1038" max="1038" width="4.85546875" style="72" customWidth="1"/>
    <col min="1039" max="1039" width="3.7109375" style="72" customWidth="1"/>
    <col min="1040" max="1040" width="5.28515625" style="72" customWidth="1"/>
    <col min="1041" max="1041" width="0" style="72" hidden="1" customWidth="1"/>
    <col min="1042" max="1042" width="3.5703125" style="72" customWidth="1"/>
    <col min="1043" max="1043" width="3.42578125" style="72" customWidth="1"/>
    <col min="1044" max="1045" width="3.5703125" style="72" customWidth="1"/>
    <col min="1046" max="1280" width="9.140625" style="72"/>
    <col min="1281" max="1281" width="7.42578125" style="72" customWidth="1"/>
    <col min="1282" max="1282" width="9.42578125" style="72" customWidth="1"/>
    <col min="1283" max="1285" width="9.140625" style="72"/>
    <col min="1286" max="1291" width="3.7109375" style="72" customWidth="1"/>
    <col min="1292" max="1293" width="3.5703125" style="72" customWidth="1"/>
    <col min="1294" max="1294" width="4.85546875" style="72" customWidth="1"/>
    <col min="1295" max="1295" width="3.7109375" style="72" customWidth="1"/>
    <col min="1296" max="1296" width="5.28515625" style="72" customWidth="1"/>
    <col min="1297" max="1297" width="0" style="72" hidden="1" customWidth="1"/>
    <col min="1298" max="1298" width="3.5703125" style="72" customWidth="1"/>
    <col min="1299" max="1299" width="3.42578125" style="72" customWidth="1"/>
    <col min="1300" max="1301" width="3.5703125" style="72" customWidth="1"/>
    <col min="1302" max="1536" width="9.140625" style="72"/>
    <col min="1537" max="1537" width="7.42578125" style="72" customWidth="1"/>
    <col min="1538" max="1538" width="9.42578125" style="72" customWidth="1"/>
    <col min="1539" max="1541" width="9.140625" style="72"/>
    <col min="1542" max="1547" width="3.7109375" style="72" customWidth="1"/>
    <col min="1548" max="1549" width="3.5703125" style="72" customWidth="1"/>
    <col min="1550" max="1550" width="4.85546875" style="72" customWidth="1"/>
    <col min="1551" max="1551" width="3.7109375" style="72" customWidth="1"/>
    <col min="1552" max="1552" width="5.28515625" style="72" customWidth="1"/>
    <col min="1553" max="1553" width="0" style="72" hidden="1" customWidth="1"/>
    <col min="1554" max="1554" width="3.5703125" style="72" customWidth="1"/>
    <col min="1555" max="1555" width="3.42578125" style="72" customWidth="1"/>
    <col min="1556" max="1557" width="3.5703125" style="72" customWidth="1"/>
    <col min="1558" max="1792" width="9.140625" style="72"/>
    <col min="1793" max="1793" width="7.42578125" style="72" customWidth="1"/>
    <col min="1794" max="1794" width="9.42578125" style="72" customWidth="1"/>
    <col min="1795" max="1797" width="9.140625" style="72"/>
    <col min="1798" max="1803" width="3.7109375" style="72" customWidth="1"/>
    <col min="1804" max="1805" width="3.5703125" style="72" customWidth="1"/>
    <col min="1806" max="1806" width="4.85546875" style="72" customWidth="1"/>
    <col min="1807" max="1807" width="3.7109375" style="72" customWidth="1"/>
    <col min="1808" max="1808" width="5.28515625" style="72" customWidth="1"/>
    <col min="1809" max="1809" width="0" style="72" hidden="1" customWidth="1"/>
    <col min="1810" max="1810" width="3.5703125" style="72" customWidth="1"/>
    <col min="1811" max="1811" width="3.42578125" style="72" customWidth="1"/>
    <col min="1812" max="1813" width="3.5703125" style="72" customWidth="1"/>
    <col min="1814" max="2048" width="9.140625" style="72"/>
    <col min="2049" max="2049" width="7.42578125" style="72" customWidth="1"/>
    <col min="2050" max="2050" width="9.42578125" style="72" customWidth="1"/>
    <col min="2051" max="2053" width="9.140625" style="72"/>
    <col min="2054" max="2059" width="3.7109375" style="72" customWidth="1"/>
    <col min="2060" max="2061" width="3.5703125" style="72" customWidth="1"/>
    <col min="2062" max="2062" width="4.85546875" style="72" customWidth="1"/>
    <col min="2063" max="2063" width="3.7109375" style="72" customWidth="1"/>
    <col min="2064" max="2064" width="5.28515625" style="72" customWidth="1"/>
    <col min="2065" max="2065" width="0" style="72" hidden="1" customWidth="1"/>
    <col min="2066" max="2066" width="3.5703125" style="72" customWidth="1"/>
    <col min="2067" max="2067" width="3.42578125" style="72" customWidth="1"/>
    <col min="2068" max="2069" width="3.5703125" style="72" customWidth="1"/>
    <col min="2070" max="2304" width="9.140625" style="72"/>
    <col min="2305" max="2305" width="7.42578125" style="72" customWidth="1"/>
    <col min="2306" max="2306" width="9.42578125" style="72" customWidth="1"/>
    <col min="2307" max="2309" width="9.140625" style="72"/>
    <col min="2310" max="2315" width="3.7109375" style="72" customWidth="1"/>
    <col min="2316" max="2317" width="3.5703125" style="72" customWidth="1"/>
    <col min="2318" max="2318" width="4.85546875" style="72" customWidth="1"/>
    <col min="2319" max="2319" width="3.7109375" style="72" customWidth="1"/>
    <col min="2320" max="2320" width="5.28515625" style="72" customWidth="1"/>
    <col min="2321" max="2321" width="0" style="72" hidden="1" customWidth="1"/>
    <col min="2322" max="2322" width="3.5703125" style="72" customWidth="1"/>
    <col min="2323" max="2323" width="3.42578125" style="72" customWidth="1"/>
    <col min="2324" max="2325" width="3.5703125" style="72" customWidth="1"/>
    <col min="2326" max="2560" width="9.140625" style="72"/>
    <col min="2561" max="2561" width="7.42578125" style="72" customWidth="1"/>
    <col min="2562" max="2562" width="9.42578125" style="72" customWidth="1"/>
    <col min="2563" max="2565" width="9.140625" style="72"/>
    <col min="2566" max="2571" width="3.7109375" style="72" customWidth="1"/>
    <col min="2572" max="2573" width="3.5703125" style="72" customWidth="1"/>
    <col min="2574" max="2574" width="4.85546875" style="72" customWidth="1"/>
    <col min="2575" max="2575" width="3.7109375" style="72" customWidth="1"/>
    <col min="2576" max="2576" width="5.28515625" style="72" customWidth="1"/>
    <col min="2577" max="2577" width="0" style="72" hidden="1" customWidth="1"/>
    <col min="2578" max="2578" width="3.5703125" style="72" customWidth="1"/>
    <col min="2579" max="2579" width="3.42578125" style="72" customWidth="1"/>
    <col min="2580" max="2581" width="3.5703125" style="72" customWidth="1"/>
    <col min="2582" max="2816" width="9.140625" style="72"/>
    <col min="2817" max="2817" width="7.42578125" style="72" customWidth="1"/>
    <col min="2818" max="2818" width="9.42578125" style="72" customWidth="1"/>
    <col min="2819" max="2821" width="9.140625" style="72"/>
    <col min="2822" max="2827" width="3.7109375" style="72" customWidth="1"/>
    <col min="2828" max="2829" width="3.5703125" style="72" customWidth="1"/>
    <col min="2830" max="2830" width="4.85546875" style="72" customWidth="1"/>
    <col min="2831" max="2831" width="3.7109375" style="72" customWidth="1"/>
    <col min="2832" max="2832" width="5.28515625" style="72" customWidth="1"/>
    <col min="2833" max="2833" width="0" style="72" hidden="1" customWidth="1"/>
    <col min="2834" max="2834" width="3.5703125" style="72" customWidth="1"/>
    <col min="2835" max="2835" width="3.42578125" style="72" customWidth="1"/>
    <col min="2836" max="2837" width="3.5703125" style="72" customWidth="1"/>
    <col min="2838" max="3072" width="9.140625" style="72"/>
    <col min="3073" max="3073" width="7.42578125" style="72" customWidth="1"/>
    <col min="3074" max="3074" width="9.42578125" style="72" customWidth="1"/>
    <col min="3075" max="3077" width="9.140625" style="72"/>
    <col min="3078" max="3083" width="3.7109375" style="72" customWidth="1"/>
    <col min="3084" max="3085" width="3.5703125" style="72" customWidth="1"/>
    <col min="3086" max="3086" width="4.85546875" style="72" customWidth="1"/>
    <col min="3087" max="3087" width="3.7109375" style="72" customWidth="1"/>
    <col min="3088" max="3088" width="5.28515625" style="72" customWidth="1"/>
    <col min="3089" max="3089" width="0" style="72" hidden="1" customWidth="1"/>
    <col min="3090" max="3090" width="3.5703125" style="72" customWidth="1"/>
    <col min="3091" max="3091" width="3.42578125" style="72" customWidth="1"/>
    <col min="3092" max="3093" width="3.5703125" style="72" customWidth="1"/>
    <col min="3094" max="3328" width="9.140625" style="72"/>
    <col min="3329" max="3329" width="7.42578125" style="72" customWidth="1"/>
    <col min="3330" max="3330" width="9.42578125" style="72" customWidth="1"/>
    <col min="3331" max="3333" width="9.140625" style="72"/>
    <col min="3334" max="3339" width="3.7109375" style="72" customWidth="1"/>
    <col min="3340" max="3341" width="3.5703125" style="72" customWidth="1"/>
    <col min="3342" max="3342" width="4.85546875" style="72" customWidth="1"/>
    <col min="3343" max="3343" width="3.7109375" style="72" customWidth="1"/>
    <col min="3344" max="3344" width="5.28515625" style="72" customWidth="1"/>
    <col min="3345" max="3345" width="0" style="72" hidden="1" customWidth="1"/>
    <col min="3346" max="3346" width="3.5703125" style="72" customWidth="1"/>
    <col min="3347" max="3347" width="3.42578125" style="72" customWidth="1"/>
    <col min="3348" max="3349" width="3.5703125" style="72" customWidth="1"/>
    <col min="3350" max="3584" width="9.140625" style="72"/>
    <col min="3585" max="3585" width="7.42578125" style="72" customWidth="1"/>
    <col min="3586" max="3586" width="9.42578125" style="72" customWidth="1"/>
    <col min="3587" max="3589" width="9.140625" style="72"/>
    <col min="3590" max="3595" width="3.7109375" style="72" customWidth="1"/>
    <col min="3596" max="3597" width="3.5703125" style="72" customWidth="1"/>
    <col min="3598" max="3598" width="4.85546875" style="72" customWidth="1"/>
    <col min="3599" max="3599" width="3.7109375" style="72" customWidth="1"/>
    <col min="3600" max="3600" width="5.28515625" style="72" customWidth="1"/>
    <col min="3601" max="3601" width="0" style="72" hidden="1" customWidth="1"/>
    <col min="3602" max="3602" width="3.5703125" style="72" customWidth="1"/>
    <col min="3603" max="3603" width="3.42578125" style="72" customWidth="1"/>
    <col min="3604" max="3605" width="3.5703125" style="72" customWidth="1"/>
    <col min="3606" max="3840" width="9.140625" style="72"/>
    <col min="3841" max="3841" width="7.42578125" style="72" customWidth="1"/>
    <col min="3842" max="3842" width="9.42578125" style="72" customWidth="1"/>
    <col min="3843" max="3845" width="9.140625" style="72"/>
    <col min="3846" max="3851" width="3.7109375" style="72" customWidth="1"/>
    <col min="3852" max="3853" width="3.5703125" style="72" customWidth="1"/>
    <col min="3854" max="3854" width="4.85546875" style="72" customWidth="1"/>
    <col min="3855" max="3855" width="3.7109375" style="72" customWidth="1"/>
    <col min="3856" max="3856" width="5.28515625" style="72" customWidth="1"/>
    <col min="3857" max="3857" width="0" style="72" hidden="1" customWidth="1"/>
    <col min="3858" max="3858" width="3.5703125" style="72" customWidth="1"/>
    <col min="3859" max="3859" width="3.42578125" style="72" customWidth="1"/>
    <col min="3860" max="3861" width="3.5703125" style="72" customWidth="1"/>
    <col min="3862" max="4096" width="9.140625" style="72"/>
    <col min="4097" max="4097" width="7.42578125" style="72" customWidth="1"/>
    <col min="4098" max="4098" width="9.42578125" style="72" customWidth="1"/>
    <col min="4099" max="4101" width="9.140625" style="72"/>
    <col min="4102" max="4107" width="3.7109375" style="72" customWidth="1"/>
    <col min="4108" max="4109" width="3.5703125" style="72" customWidth="1"/>
    <col min="4110" max="4110" width="4.85546875" style="72" customWidth="1"/>
    <col min="4111" max="4111" width="3.7109375" style="72" customWidth="1"/>
    <col min="4112" max="4112" width="5.28515625" style="72" customWidth="1"/>
    <col min="4113" max="4113" width="0" style="72" hidden="1" customWidth="1"/>
    <col min="4114" max="4114" width="3.5703125" style="72" customWidth="1"/>
    <col min="4115" max="4115" width="3.42578125" style="72" customWidth="1"/>
    <col min="4116" max="4117" width="3.5703125" style="72" customWidth="1"/>
    <col min="4118" max="4352" width="9.140625" style="72"/>
    <col min="4353" max="4353" width="7.42578125" style="72" customWidth="1"/>
    <col min="4354" max="4354" width="9.42578125" style="72" customWidth="1"/>
    <col min="4355" max="4357" width="9.140625" style="72"/>
    <col min="4358" max="4363" width="3.7109375" style="72" customWidth="1"/>
    <col min="4364" max="4365" width="3.5703125" style="72" customWidth="1"/>
    <col min="4366" max="4366" width="4.85546875" style="72" customWidth="1"/>
    <col min="4367" max="4367" width="3.7109375" style="72" customWidth="1"/>
    <col min="4368" max="4368" width="5.28515625" style="72" customWidth="1"/>
    <col min="4369" max="4369" width="0" style="72" hidden="1" customWidth="1"/>
    <col min="4370" max="4370" width="3.5703125" style="72" customWidth="1"/>
    <col min="4371" max="4371" width="3.42578125" style="72" customWidth="1"/>
    <col min="4372" max="4373" width="3.5703125" style="72" customWidth="1"/>
    <col min="4374" max="4608" width="9.140625" style="72"/>
    <col min="4609" max="4609" width="7.42578125" style="72" customWidth="1"/>
    <col min="4610" max="4610" width="9.42578125" style="72" customWidth="1"/>
    <col min="4611" max="4613" width="9.140625" style="72"/>
    <col min="4614" max="4619" width="3.7109375" style="72" customWidth="1"/>
    <col min="4620" max="4621" width="3.5703125" style="72" customWidth="1"/>
    <col min="4622" max="4622" width="4.85546875" style="72" customWidth="1"/>
    <col min="4623" max="4623" width="3.7109375" style="72" customWidth="1"/>
    <col min="4624" max="4624" width="5.28515625" style="72" customWidth="1"/>
    <col min="4625" max="4625" width="0" style="72" hidden="1" customWidth="1"/>
    <col min="4626" max="4626" width="3.5703125" style="72" customWidth="1"/>
    <col min="4627" max="4627" width="3.42578125" style="72" customWidth="1"/>
    <col min="4628" max="4629" width="3.5703125" style="72" customWidth="1"/>
    <col min="4630" max="4864" width="9.140625" style="72"/>
    <col min="4865" max="4865" width="7.42578125" style="72" customWidth="1"/>
    <col min="4866" max="4866" width="9.42578125" style="72" customWidth="1"/>
    <col min="4867" max="4869" width="9.140625" style="72"/>
    <col min="4870" max="4875" width="3.7109375" style="72" customWidth="1"/>
    <col min="4876" max="4877" width="3.5703125" style="72" customWidth="1"/>
    <col min="4878" max="4878" width="4.85546875" style="72" customWidth="1"/>
    <col min="4879" max="4879" width="3.7109375" style="72" customWidth="1"/>
    <col min="4880" max="4880" width="5.28515625" style="72" customWidth="1"/>
    <col min="4881" max="4881" width="0" style="72" hidden="1" customWidth="1"/>
    <col min="4882" max="4882" width="3.5703125" style="72" customWidth="1"/>
    <col min="4883" max="4883" width="3.42578125" style="72" customWidth="1"/>
    <col min="4884" max="4885" width="3.5703125" style="72" customWidth="1"/>
    <col min="4886" max="5120" width="9.140625" style="72"/>
    <col min="5121" max="5121" width="7.42578125" style="72" customWidth="1"/>
    <col min="5122" max="5122" width="9.42578125" style="72" customWidth="1"/>
    <col min="5123" max="5125" width="9.140625" style="72"/>
    <col min="5126" max="5131" width="3.7109375" style="72" customWidth="1"/>
    <col min="5132" max="5133" width="3.5703125" style="72" customWidth="1"/>
    <col min="5134" max="5134" width="4.85546875" style="72" customWidth="1"/>
    <col min="5135" max="5135" width="3.7109375" style="72" customWidth="1"/>
    <col min="5136" max="5136" width="5.28515625" style="72" customWidth="1"/>
    <col min="5137" max="5137" width="0" style="72" hidden="1" customWidth="1"/>
    <col min="5138" max="5138" width="3.5703125" style="72" customWidth="1"/>
    <col min="5139" max="5139" width="3.42578125" style="72" customWidth="1"/>
    <col min="5140" max="5141" width="3.5703125" style="72" customWidth="1"/>
    <col min="5142" max="5376" width="9.140625" style="72"/>
    <col min="5377" max="5377" width="7.42578125" style="72" customWidth="1"/>
    <col min="5378" max="5378" width="9.42578125" style="72" customWidth="1"/>
    <col min="5379" max="5381" width="9.140625" style="72"/>
    <col min="5382" max="5387" width="3.7109375" style="72" customWidth="1"/>
    <col min="5388" max="5389" width="3.5703125" style="72" customWidth="1"/>
    <col min="5390" max="5390" width="4.85546875" style="72" customWidth="1"/>
    <col min="5391" max="5391" width="3.7109375" style="72" customWidth="1"/>
    <col min="5392" max="5392" width="5.28515625" style="72" customWidth="1"/>
    <col min="5393" max="5393" width="0" style="72" hidden="1" customWidth="1"/>
    <col min="5394" max="5394" width="3.5703125" style="72" customWidth="1"/>
    <col min="5395" max="5395" width="3.42578125" style="72" customWidth="1"/>
    <col min="5396" max="5397" width="3.5703125" style="72" customWidth="1"/>
    <col min="5398" max="5632" width="9.140625" style="72"/>
    <col min="5633" max="5633" width="7.42578125" style="72" customWidth="1"/>
    <col min="5634" max="5634" width="9.42578125" style="72" customWidth="1"/>
    <col min="5635" max="5637" width="9.140625" style="72"/>
    <col min="5638" max="5643" width="3.7109375" style="72" customWidth="1"/>
    <col min="5644" max="5645" width="3.5703125" style="72" customWidth="1"/>
    <col min="5646" max="5646" width="4.85546875" style="72" customWidth="1"/>
    <col min="5647" max="5647" width="3.7109375" style="72" customWidth="1"/>
    <col min="5648" max="5648" width="5.28515625" style="72" customWidth="1"/>
    <col min="5649" max="5649" width="0" style="72" hidden="1" customWidth="1"/>
    <col min="5650" max="5650" width="3.5703125" style="72" customWidth="1"/>
    <col min="5651" max="5651" width="3.42578125" style="72" customWidth="1"/>
    <col min="5652" max="5653" width="3.5703125" style="72" customWidth="1"/>
    <col min="5654" max="5888" width="9.140625" style="72"/>
    <col min="5889" max="5889" width="7.42578125" style="72" customWidth="1"/>
    <col min="5890" max="5890" width="9.42578125" style="72" customWidth="1"/>
    <col min="5891" max="5893" width="9.140625" style="72"/>
    <col min="5894" max="5899" width="3.7109375" style="72" customWidth="1"/>
    <col min="5900" max="5901" width="3.5703125" style="72" customWidth="1"/>
    <col min="5902" max="5902" width="4.85546875" style="72" customWidth="1"/>
    <col min="5903" max="5903" width="3.7109375" style="72" customWidth="1"/>
    <col min="5904" max="5904" width="5.28515625" style="72" customWidth="1"/>
    <col min="5905" max="5905" width="0" style="72" hidden="1" customWidth="1"/>
    <col min="5906" max="5906" width="3.5703125" style="72" customWidth="1"/>
    <col min="5907" max="5907" width="3.42578125" style="72" customWidth="1"/>
    <col min="5908" max="5909" width="3.5703125" style="72" customWidth="1"/>
    <col min="5910" max="6144" width="9.140625" style="72"/>
    <col min="6145" max="6145" width="7.42578125" style="72" customWidth="1"/>
    <col min="6146" max="6146" width="9.42578125" style="72" customWidth="1"/>
    <col min="6147" max="6149" width="9.140625" style="72"/>
    <col min="6150" max="6155" width="3.7109375" style="72" customWidth="1"/>
    <col min="6156" max="6157" width="3.5703125" style="72" customWidth="1"/>
    <col min="6158" max="6158" width="4.85546875" style="72" customWidth="1"/>
    <col min="6159" max="6159" width="3.7109375" style="72" customWidth="1"/>
    <col min="6160" max="6160" width="5.28515625" style="72" customWidth="1"/>
    <col min="6161" max="6161" width="0" style="72" hidden="1" customWidth="1"/>
    <col min="6162" max="6162" width="3.5703125" style="72" customWidth="1"/>
    <col min="6163" max="6163" width="3.42578125" style="72" customWidth="1"/>
    <col min="6164" max="6165" width="3.5703125" style="72" customWidth="1"/>
    <col min="6166" max="6400" width="9.140625" style="72"/>
    <col min="6401" max="6401" width="7.42578125" style="72" customWidth="1"/>
    <col min="6402" max="6402" width="9.42578125" style="72" customWidth="1"/>
    <col min="6403" max="6405" width="9.140625" style="72"/>
    <col min="6406" max="6411" width="3.7109375" style="72" customWidth="1"/>
    <col min="6412" max="6413" width="3.5703125" style="72" customWidth="1"/>
    <col min="6414" max="6414" width="4.85546875" style="72" customWidth="1"/>
    <col min="6415" max="6415" width="3.7109375" style="72" customWidth="1"/>
    <col min="6416" max="6416" width="5.28515625" style="72" customWidth="1"/>
    <col min="6417" max="6417" width="0" style="72" hidden="1" customWidth="1"/>
    <col min="6418" max="6418" width="3.5703125" style="72" customWidth="1"/>
    <col min="6419" max="6419" width="3.42578125" style="72" customWidth="1"/>
    <col min="6420" max="6421" width="3.5703125" style="72" customWidth="1"/>
    <col min="6422" max="6656" width="9.140625" style="72"/>
    <col min="6657" max="6657" width="7.42578125" style="72" customWidth="1"/>
    <col min="6658" max="6658" width="9.42578125" style="72" customWidth="1"/>
    <col min="6659" max="6661" width="9.140625" style="72"/>
    <col min="6662" max="6667" width="3.7109375" style="72" customWidth="1"/>
    <col min="6668" max="6669" width="3.5703125" style="72" customWidth="1"/>
    <col min="6670" max="6670" width="4.85546875" style="72" customWidth="1"/>
    <col min="6671" max="6671" width="3.7109375" style="72" customWidth="1"/>
    <col min="6672" max="6672" width="5.28515625" style="72" customWidth="1"/>
    <col min="6673" max="6673" width="0" style="72" hidden="1" customWidth="1"/>
    <col min="6674" max="6674" width="3.5703125" style="72" customWidth="1"/>
    <col min="6675" max="6675" width="3.42578125" style="72" customWidth="1"/>
    <col min="6676" max="6677" width="3.5703125" style="72" customWidth="1"/>
    <col min="6678" max="6912" width="9.140625" style="72"/>
    <col min="6913" max="6913" width="7.42578125" style="72" customWidth="1"/>
    <col min="6914" max="6914" width="9.42578125" style="72" customWidth="1"/>
    <col min="6915" max="6917" width="9.140625" style="72"/>
    <col min="6918" max="6923" width="3.7109375" style="72" customWidth="1"/>
    <col min="6924" max="6925" width="3.5703125" style="72" customWidth="1"/>
    <col min="6926" max="6926" width="4.85546875" style="72" customWidth="1"/>
    <col min="6927" max="6927" width="3.7109375" style="72" customWidth="1"/>
    <col min="6928" max="6928" width="5.28515625" style="72" customWidth="1"/>
    <col min="6929" max="6929" width="0" style="72" hidden="1" customWidth="1"/>
    <col min="6930" max="6930" width="3.5703125" style="72" customWidth="1"/>
    <col min="6931" max="6931" width="3.42578125" style="72" customWidth="1"/>
    <col min="6932" max="6933" width="3.5703125" style="72" customWidth="1"/>
    <col min="6934" max="7168" width="9.140625" style="72"/>
    <col min="7169" max="7169" width="7.42578125" style="72" customWidth="1"/>
    <col min="7170" max="7170" width="9.42578125" style="72" customWidth="1"/>
    <col min="7171" max="7173" width="9.140625" style="72"/>
    <col min="7174" max="7179" width="3.7109375" style="72" customWidth="1"/>
    <col min="7180" max="7181" width="3.5703125" style="72" customWidth="1"/>
    <col min="7182" max="7182" width="4.85546875" style="72" customWidth="1"/>
    <col min="7183" max="7183" width="3.7109375" style="72" customWidth="1"/>
    <col min="7184" max="7184" width="5.28515625" style="72" customWidth="1"/>
    <col min="7185" max="7185" width="0" style="72" hidden="1" customWidth="1"/>
    <col min="7186" max="7186" width="3.5703125" style="72" customWidth="1"/>
    <col min="7187" max="7187" width="3.42578125" style="72" customWidth="1"/>
    <col min="7188" max="7189" width="3.5703125" style="72" customWidth="1"/>
    <col min="7190" max="7424" width="9.140625" style="72"/>
    <col min="7425" max="7425" width="7.42578125" style="72" customWidth="1"/>
    <col min="7426" max="7426" width="9.42578125" style="72" customWidth="1"/>
    <col min="7427" max="7429" width="9.140625" style="72"/>
    <col min="7430" max="7435" width="3.7109375" style="72" customWidth="1"/>
    <col min="7436" max="7437" width="3.5703125" style="72" customWidth="1"/>
    <col min="7438" max="7438" width="4.85546875" style="72" customWidth="1"/>
    <col min="7439" max="7439" width="3.7109375" style="72" customWidth="1"/>
    <col min="7440" max="7440" width="5.28515625" style="72" customWidth="1"/>
    <col min="7441" max="7441" width="0" style="72" hidden="1" customWidth="1"/>
    <col min="7442" max="7442" width="3.5703125" style="72" customWidth="1"/>
    <col min="7443" max="7443" width="3.42578125" style="72" customWidth="1"/>
    <col min="7444" max="7445" width="3.5703125" style="72" customWidth="1"/>
    <col min="7446" max="7680" width="9.140625" style="72"/>
    <col min="7681" max="7681" width="7.42578125" style="72" customWidth="1"/>
    <col min="7682" max="7682" width="9.42578125" style="72" customWidth="1"/>
    <col min="7683" max="7685" width="9.140625" style="72"/>
    <col min="7686" max="7691" width="3.7109375" style="72" customWidth="1"/>
    <col min="7692" max="7693" width="3.5703125" style="72" customWidth="1"/>
    <col min="7694" max="7694" width="4.85546875" style="72" customWidth="1"/>
    <col min="7695" max="7695" width="3.7109375" style="72" customWidth="1"/>
    <col min="7696" max="7696" width="5.28515625" style="72" customWidth="1"/>
    <col min="7697" max="7697" width="0" style="72" hidden="1" customWidth="1"/>
    <col min="7698" max="7698" width="3.5703125" style="72" customWidth="1"/>
    <col min="7699" max="7699" width="3.42578125" style="72" customWidth="1"/>
    <col min="7700" max="7701" width="3.5703125" style="72" customWidth="1"/>
    <col min="7702" max="7936" width="9.140625" style="72"/>
    <col min="7937" max="7937" width="7.42578125" style="72" customWidth="1"/>
    <col min="7938" max="7938" width="9.42578125" style="72" customWidth="1"/>
    <col min="7939" max="7941" width="9.140625" style="72"/>
    <col min="7942" max="7947" width="3.7109375" style="72" customWidth="1"/>
    <col min="7948" max="7949" width="3.5703125" style="72" customWidth="1"/>
    <col min="7950" max="7950" width="4.85546875" style="72" customWidth="1"/>
    <col min="7951" max="7951" width="3.7109375" style="72" customWidth="1"/>
    <col min="7952" max="7952" width="5.28515625" style="72" customWidth="1"/>
    <col min="7953" max="7953" width="0" style="72" hidden="1" customWidth="1"/>
    <col min="7954" max="7954" width="3.5703125" style="72" customWidth="1"/>
    <col min="7955" max="7955" width="3.42578125" style="72" customWidth="1"/>
    <col min="7956" max="7957" width="3.5703125" style="72" customWidth="1"/>
    <col min="7958" max="8192" width="9.140625" style="72"/>
    <col min="8193" max="8193" width="7.42578125" style="72" customWidth="1"/>
    <col min="8194" max="8194" width="9.42578125" style="72" customWidth="1"/>
    <col min="8195" max="8197" width="9.140625" style="72"/>
    <col min="8198" max="8203" width="3.7109375" style="72" customWidth="1"/>
    <col min="8204" max="8205" width="3.5703125" style="72" customWidth="1"/>
    <col min="8206" max="8206" width="4.85546875" style="72" customWidth="1"/>
    <col min="8207" max="8207" width="3.7109375" style="72" customWidth="1"/>
    <col min="8208" max="8208" width="5.28515625" style="72" customWidth="1"/>
    <col min="8209" max="8209" width="0" style="72" hidden="1" customWidth="1"/>
    <col min="8210" max="8210" width="3.5703125" style="72" customWidth="1"/>
    <col min="8211" max="8211" width="3.42578125" style="72" customWidth="1"/>
    <col min="8212" max="8213" width="3.5703125" style="72" customWidth="1"/>
    <col min="8214" max="8448" width="9.140625" style="72"/>
    <col min="8449" max="8449" width="7.42578125" style="72" customWidth="1"/>
    <col min="8450" max="8450" width="9.42578125" style="72" customWidth="1"/>
    <col min="8451" max="8453" width="9.140625" style="72"/>
    <col min="8454" max="8459" width="3.7109375" style="72" customWidth="1"/>
    <col min="8460" max="8461" width="3.5703125" style="72" customWidth="1"/>
    <col min="8462" max="8462" width="4.85546875" style="72" customWidth="1"/>
    <col min="8463" max="8463" width="3.7109375" style="72" customWidth="1"/>
    <col min="8464" max="8464" width="5.28515625" style="72" customWidth="1"/>
    <col min="8465" max="8465" width="0" style="72" hidden="1" customWidth="1"/>
    <col min="8466" max="8466" width="3.5703125" style="72" customWidth="1"/>
    <col min="8467" max="8467" width="3.42578125" style="72" customWidth="1"/>
    <col min="8468" max="8469" width="3.5703125" style="72" customWidth="1"/>
    <col min="8470" max="8704" width="9.140625" style="72"/>
    <col min="8705" max="8705" width="7.42578125" style="72" customWidth="1"/>
    <col min="8706" max="8706" width="9.42578125" style="72" customWidth="1"/>
    <col min="8707" max="8709" width="9.140625" style="72"/>
    <col min="8710" max="8715" width="3.7109375" style="72" customWidth="1"/>
    <col min="8716" max="8717" width="3.5703125" style="72" customWidth="1"/>
    <col min="8718" max="8718" width="4.85546875" style="72" customWidth="1"/>
    <col min="8719" max="8719" width="3.7109375" style="72" customWidth="1"/>
    <col min="8720" max="8720" width="5.28515625" style="72" customWidth="1"/>
    <col min="8721" max="8721" width="0" style="72" hidden="1" customWidth="1"/>
    <col min="8722" max="8722" width="3.5703125" style="72" customWidth="1"/>
    <col min="8723" max="8723" width="3.42578125" style="72" customWidth="1"/>
    <col min="8724" max="8725" width="3.5703125" style="72" customWidth="1"/>
    <col min="8726" max="8960" width="9.140625" style="72"/>
    <col min="8961" max="8961" width="7.42578125" style="72" customWidth="1"/>
    <col min="8962" max="8962" width="9.42578125" style="72" customWidth="1"/>
    <col min="8963" max="8965" width="9.140625" style="72"/>
    <col min="8966" max="8971" width="3.7109375" style="72" customWidth="1"/>
    <col min="8972" max="8973" width="3.5703125" style="72" customWidth="1"/>
    <col min="8974" max="8974" width="4.85546875" style="72" customWidth="1"/>
    <col min="8975" max="8975" width="3.7109375" style="72" customWidth="1"/>
    <col min="8976" max="8976" width="5.28515625" style="72" customWidth="1"/>
    <col min="8977" max="8977" width="0" style="72" hidden="1" customWidth="1"/>
    <col min="8978" max="8978" width="3.5703125" style="72" customWidth="1"/>
    <col min="8979" max="8979" width="3.42578125" style="72" customWidth="1"/>
    <col min="8980" max="8981" width="3.5703125" style="72" customWidth="1"/>
    <col min="8982" max="9216" width="9.140625" style="72"/>
    <col min="9217" max="9217" width="7.42578125" style="72" customWidth="1"/>
    <col min="9218" max="9218" width="9.42578125" style="72" customWidth="1"/>
    <col min="9219" max="9221" width="9.140625" style="72"/>
    <col min="9222" max="9227" width="3.7109375" style="72" customWidth="1"/>
    <col min="9228" max="9229" width="3.5703125" style="72" customWidth="1"/>
    <col min="9230" max="9230" width="4.85546875" style="72" customWidth="1"/>
    <col min="9231" max="9231" width="3.7109375" style="72" customWidth="1"/>
    <col min="9232" max="9232" width="5.28515625" style="72" customWidth="1"/>
    <col min="9233" max="9233" width="0" style="72" hidden="1" customWidth="1"/>
    <col min="9234" max="9234" width="3.5703125" style="72" customWidth="1"/>
    <col min="9235" max="9235" width="3.42578125" style="72" customWidth="1"/>
    <col min="9236" max="9237" width="3.5703125" style="72" customWidth="1"/>
    <col min="9238" max="9472" width="9.140625" style="72"/>
    <col min="9473" max="9473" width="7.42578125" style="72" customWidth="1"/>
    <col min="9474" max="9474" width="9.42578125" style="72" customWidth="1"/>
    <col min="9475" max="9477" width="9.140625" style="72"/>
    <col min="9478" max="9483" width="3.7109375" style="72" customWidth="1"/>
    <col min="9484" max="9485" width="3.5703125" style="72" customWidth="1"/>
    <col min="9486" max="9486" width="4.85546875" style="72" customWidth="1"/>
    <col min="9487" max="9487" width="3.7109375" style="72" customWidth="1"/>
    <col min="9488" max="9488" width="5.28515625" style="72" customWidth="1"/>
    <col min="9489" max="9489" width="0" style="72" hidden="1" customWidth="1"/>
    <col min="9490" max="9490" width="3.5703125" style="72" customWidth="1"/>
    <col min="9491" max="9491" width="3.42578125" style="72" customWidth="1"/>
    <col min="9492" max="9493" width="3.5703125" style="72" customWidth="1"/>
    <col min="9494" max="9728" width="9.140625" style="72"/>
    <col min="9729" max="9729" width="7.42578125" style="72" customWidth="1"/>
    <col min="9730" max="9730" width="9.42578125" style="72" customWidth="1"/>
    <col min="9731" max="9733" width="9.140625" style="72"/>
    <col min="9734" max="9739" width="3.7109375" style="72" customWidth="1"/>
    <col min="9740" max="9741" width="3.5703125" style="72" customWidth="1"/>
    <col min="9742" max="9742" width="4.85546875" style="72" customWidth="1"/>
    <col min="9743" max="9743" width="3.7109375" style="72" customWidth="1"/>
    <col min="9744" max="9744" width="5.28515625" style="72" customWidth="1"/>
    <col min="9745" max="9745" width="0" style="72" hidden="1" customWidth="1"/>
    <col min="9746" max="9746" width="3.5703125" style="72" customWidth="1"/>
    <col min="9747" max="9747" width="3.42578125" style="72" customWidth="1"/>
    <col min="9748" max="9749" width="3.5703125" style="72" customWidth="1"/>
    <col min="9750" max="9984" width="9.140625" style="72"/>
    <col min="9985" max="9985" width="7.42578125" style="72" customWidth="1"/>
    <col min="9986" max="9986" width="9.42578125" style="72" customWidth="1"/>
    <col min="9987" max="9989" width="9.140625" style="72"/>
    <col min="9990" max="9995" width="3.7109375" style="72" customWidth="1"/>
    <col min="9996" max="9997" width="3.5703125" style="72" customWidth="1"/>
    <col min="9998" max="9998" width="4.85546875" style="72" customWidth="1"/>
    <col min="9999" max="9999" width="3.7109375" style="72" customWidth="1"/>
    <col min="10000" max="10000" width="5.28515625" style="72" customWidth="1"/>
    <col min="10001" max="10001" width="0" style="72" hidden="1" customWidth="1"/>
    <col min="10002" max="10002" width="3.5703125" style="72" customWidth="1"/>
    <col min="10003" max="10003" width="3.42578125" style="72" customWidth="1"/>
    <col min="10004" max="10005" width="3.5703125" style="72" customWidth="1"/>
    <col min="10006" max="10240" width="9.140625" style="72"/>
    <col min="10241" max="10241" width="7.42578125" style="72" customWidth="1"/>
    <col min="10242" max="10242" width="9.42578125" style="72" customWidth="1"/>
    <col min="10243" max="10245" width="9.140625" style="72"/>
    <col min="10246" max="10251" width="3.7109375" style="72" customWidth="1"/>
    <col min="10252" max="10253" width="3.5703125" style="72" customWidth="1"/>
    <col min="10254" max="10254" width="4.85546875" style="72" customWidth="1"/>
    <col min="10255" max="10255" width="3.7109375" style="72" customWidth="1"/>
    <col min="10256" max="10256" width="5.28515625" style="72" customWidth="1"/>
    <col min="10257" max="10257" width="0" style="72" hidden="1" customWidth="1"/>
    <col min="10258" max="10258" width="3.5703125" style="72" customWidth="1"/>
    <col min="10259" max="10259" width="3.42578125" style="72" customWidth="1"/>
    <col min="10260" max="10261" width="3.5703125" style="72" customWidth="1"/>
    <col min="10262" max="10496" width="9.140625" style="72"/>
    <col min="10497" max="10497" width="7.42578125" style="72" customWidth="1"/>
    <col min="10498" max="10498" width="9.42578125" style="72" customWidth="1"/>
    <col min="10499" max="10501" width="9.140625" style="72"/>
    <col min="10502" max="10507" width="3.7109375" style="72" customWidth="1"/>
    <col min="10508" max="10509" width="3.5703125" style="72" customWidth="1"/>
    <col min="10510" max="10510" width="4.85546875" style="72" customWidth="1"/>
    <col min="10511" max="10511" width="3.7109375" style="72" customWidth="1"/>
    <col min="10512" max="10512" width="5.28515625" style="72" customWidth="1"/>
    <col min="10513" max="10513" width="0" style="72" hidden="1" customWidth="1"/>
    <col min="10514" max="10514" width="3.5703125" style="72" customWidth="1"/>
    <col min="10515" max="10515" width="3.42578125" style="72" customWidth="1"/>
    <col min="10516" max="10517" width="3.5703125" style="72" customWidth="1"/>
    <col min="10518" max="10752" width="9.140625" style="72"/>
    <col min="10753" max="10753" width="7.42578125" style="72" customWidth="1"/>
    <col min="10754" max="10754" width="9.42578125" style="72" customWidth="1"/>
    <col min="10755" max="10757" width="9.140625" style="72"/>
    <col min="10758" max="10763" width="3.7109375" style="72" customWidth="1"/>
    <col min="10764" max="10765" width="3.5703125" style="72" customWidth="1"/>
    <col min="10766" max="10766" width="4.85546875" style="72" customWidth="1"/>
    <col min="10767" max="10767" width="3.7109375" style="72" customWidth="1"/>
    <col min="10768" max="10768" width="5.28515625" style="72" customWidth="1"/>
    <col min="10769" max="10769" width="0" style="72" hidden="1" customWidth="1"/>
    <col min="10770" max="10770" width="3.5703125" style="72" customWidth="1"/>
    <col min="10771" max="10771" width="3.42578125" style="72" customWidth="1"/>
    <col min="10772" max="10773" width="3.5703125" style="72" customWidth="1"/>
    <col min="10774" max="11008" width="9.140625" style="72"/>
    <col min="11009" max="11009" width="7.42578125" style="72" customWidth="1"/>
    <col min="11010" max="11010" width="9.42578125" style="72" customWidth="1"/>
    <col min="11011" max="11013" width="9.140625" style="72"/>
    <col min="11014" max="11019" width="3.7109375" style="72" customWidth="1"/>
    <col min="11020" max="11021" width="3.5703125" style="72" customWidth="1"/>
    <col min="11022" max="11022" width="4.85546875" style="72" customWidth="1"/>
    <col min="11023" max="11023" width="3.7109375" style="72" customWidth="1"/>
    <col min="11024" max="11024" width="5.28515625" style="72" customWidth="1"/>
    <col min="11025" max="11025" width="0" style="72" hidden="1" customWidth="1"/>
    <col min="11026" max="11026" width="3.5703125" style="72" customWidth="1"/>
    <col min="11027" max="11027" width="3.42578125" style="72" customWidth="1"/>
    <col min="11028" max="11029" width="3.5703125" style="72" customWidth="1"/>
    <col min="11030" max="11264" width="9.140625" style="72"/>
    <col min="11265" max="11265" width="7.42578125" style="72" customWidth="1"/>
    <col min="11266" max="11266" width="9.42578125" style="72" customWidth="1"/>
    <col min="11267" max="11269" width="9.140625" style="72"/>
    <col min="11270" max="11275" width="3.7109375" style="72" customWidth="1"/>
    <col min="11276" max="11277" width="3.5703125" style="72" customWidth="1"/>
    <col min="11278" max="11278" width="4.85546875" style="72" customWidth="1"/>
    <col min="11279" max="11279" width="3.7109375" style="72" customWidth="1"/>
    <col min="11280" max="11280" width="5.28515625" style="72" customWidth="1"/>
    <col min="11281" max="11281" width="0" style="72" hidden="1" customWidth="1"/>
    <col min="11282" max="11282" width="3.5703125" style="72" customWidth="1"/>
    <col min="11283" max="11283" width="3.42578125" style="72" customWidth="1"/>
    <col min="11284" max="11285" width="3.5703125" style="72" customWidth="1"/>
    <col min="11286" max="11520" width="9.140625" style="72"/>
    <col min="11521" max="11521" width="7.42578125" style="72" customWidth="1"/>
    <col min="11522" max="11522" width="9.42578125" style="72" customWidth="1"/>
    <col min="11523" max="11525" width="9.140625" style="72"/>
    <col min="11526" max="11531" width="3.7109375" style="72" customWidth="1"/>
    <col min="11532" max="11533" width="3.5703125" style="72" customWidth="1"/>
    <col min="11534" max="11534" width="4.85546875" style="72" customWidth="1"/>
    <col min="11535" max="11535" width="3.7109375" style="72" customWidth="1"/>
    <col min="11536" max="11536" width="5.28515625" style="72" customWidth="1"/>
    <col min="11537" max="11537" width="0" style="72" hidden="1" customWidth="1"/>
    <col min="11538" max="11538" width="3.5703125" style="72" customWidth="1"/>
    <col min="11539" max="11539" width="3.42578125" style="72" customWidth="1"/>
    <col min="11540" max="11541" width="3.5703125" style="72" customWidth="1"/>
    <col min="11542" max="11776" width="9.140625" style="72"/>
    <col min="11777" max="11777" width="7.42578125" style="72" customWidth="1"/>
    <col min="11778" max="11778" width="9.42578125" style="72" customWidth="1"/>
    <col min="11779" max="11781" width="9.140625" style="72"/>
    <col min="11782" max="11787" width="3.7109375" style="72" customWidth="1"/>
    <col min="11788" max="11789" width="3.5703125" style="72" customWidth="1"/>
    <col min="11790" max="11790" width="4.85546875" style="72" customWidth="1"/>
    <col min="11791" max="11791" width="3.7109375" style="72" customWidth="1"/>
    <col min="11792" max="11792" width="5.28515625" style="72" customWidth="1"/>
    <col min="11793" max="11793" width="0" style="72" hidden="1" customWidth="1"/>
    <col min="11794" max="11794" width="3.5703125" style="72" customWidth="1"/>
    <col min="11795" max="11795" width="3.42578125" style="72" customWidth="1"/>
    <col min="11796" max="11797" width="3.5703125" style="72" customWidth="1"/>
    <col min="11798" max="12032" width="9.140625" style="72"/>
    <col min="12033" max="12033" width="7.42578125" style="72" customWidth="1"/>
    <col min="12034" max="12034" width="9.42578125" style="72" customWidth="1"/>
    <col min="12035" max="12037" width="9.140625" style="72"/>
    <col min="12038" max="12043" width="3.7109375" style="72" customWidth="1"/>
    <col min="12044" max="12045" width="3.5703125" style="72" customWidth="1"/>
    <col min="12046" max="12046" width="4.85546875" style="72" customWidth="1"/>
    <col min="12047" max="12047" width="3.7109375" style="72" customWidth="1"/>
    <col min="12048" max="12048" width="5.28515625" style="72" customWidth="1"/>
    <col min="12049" max="12049" width="0" style="72" hidden="1" customWidth="1"/>
    <col min="12050" max="12050" width="3.5703125" style="72" customWidth="1"/>
    <col min="12051" max="12051" width="3.42578125" style="72" customWidth="1"/>
    <col min="12052" max="12053" width="3.5703125" style="72" customWidth="1"/>
    <col min="12054" max="12288" width="9.140625" style="72"/>
    <col min="12289" max="12289" width="7.42578125" style="72" customWidth="1"/>
    <col min="12290" max="12290" width="9.42578125" style="72" customWidth="1"/>
    <col min="12291" max="12293" width="9.140625" style="72"/>
    <col min="12294" max="12299" width="3.7109375" style="72" customWidth="1"/>
    <col min="12300" max="12301" width="3.5703125" style="72" customWidth="1"/>
    <col min="12302" max="12302" width="4.85546875" style="72" customWidth="1"/>
    <col min="12303" max="12303" width="3.7109375" style="72" customWidth="1"/>
    <col min="12304" max="12304" width="5.28515625" style="72" customWidth="1"/>
    <col min="12305" max="12305" width="0" style="72" hidden="1" customWidth="1"/>
    <col min="12306" max="12306" width="3.5703125" style="72" customWidth="1"/>
    <col min="12307" max="12307" width="3.42578125" style="72" customWidth="1"/>
    <col min="12308" max="12309" width="3.5703125" style="72" customWidth="1"/>
    <col min="12310" max="12544" width="9.140625" style="72"/>
    <col min="12545" max="12545" width="7.42578125" style="72" customWidth="1"/>
    <col min="12546" max="12546" width="9.42578125" style="72" customWidth="1"/>
    <col min="12547" max="12549" width="9.140625" style="72"/>
    <col min="12550" max="12555" width="3.7109375" style="72" customWidth="1"/>
    <col min="12556" max="12557" width="3.5703125" style="72" customWidth="1"/>
    <col min="12558" max="12558" width="4.85546875" style="72" customWidth="1"/>
    <col min="12559" max="12559" width="3.7109375" style="72" customWidth="1"/>
    <col min="12560" max="12560" width="5.28515625" style="72" customWidth="1"/>
    <col min="12561" max="12561" width="0" style="72" hidden="1" customWidth="1"/>
    <col min="12562" max="12562" width="3.5703125" style="72" customWidth="1"/>
    <col min="12563" max="12563" width="3.42578125" style="72" customWidth="1"/>
    <col min="12564" max="12565" width="3.5703125" style="72" customWidth="1"/>
    <col min="12566" max="12800" width="9.140625" style="72"/>
    <col min="12801" max="12801" width="7.42578125" style="72" customWidth="1"/>
    <col min="12802" max="12802" width="9.42578125" style="72" customWidth="1"/>
    <col min="12803" max="12805" width="9.140625" style="72"/>
    <col min="12806" max="12811" width="3.7109375" style="72" customWidth="1"/>
    <col min="12812" max="12813" width="3.5703125" style="72" customWidth="1"/>
    <col min="12814" max="12814" width="4.85546875" style="72" customWidth="1"/>
    <col min="12815" max="12815" width="3.7109375" style="72" customWidth="1"/>
    <col min="12816" max="12816" width="5.28515625" style="72" customWidth="1"/>
    <col min="12817" max="12817" width="0" style="72" hidden="1" customWidth="1"/>
    <col min="12818" max="12818" width="3.5703125" style="72" customWidth="1"/>
    <col min="12819" max="12819" width="3.42578125" style="72" customWidth="1"/>
    <col min="12820" max="12821" width="3.5703125" style="72" customWidth="1"/>
    <col min="12822" max="13056" width="9.140625" style="72"/>
    <col min="13057" max="13057" width="7.42578125" style="72" customWidth="1"/>
    <col min="13058" max="13058" width="9.42578125" style="72" customWidth="1"/>
    <col min="13059" max="13061" width="9.140625" style="72"/>
    <col min="13062" max="13067" width="3.7109375" style="72" customWidth="1"/>
    <col min="13068" max="13069" width="3.5703125" style="72" customWidth="1"/>
    <col min="13070" max="13070" width="4.85546875" style="72" customWidth="1"/>
    <col min="13071" max="13071" width="3.7109375" style="72" customWidth="1"/>
    <col min="13072" max="13072" width="5.28515625" style="72" customWidth="1"/>
    <col min="13073" max="13073" width="0" style="72" hidden="1" customWidth="1"/>
    <col min="13074" max="13074" width="3.5703125" style="72" customWidth="1"/>
    <col min="13075" max="13075" width="3.42578125" style="72" customWidth="1"/>
    <col min="13076" max="13077" width="3.5703125" style="72" customWidth="1"/>
    <col min="13078" max="13312" width="9.140625" style="72"/>
    <col min="13313" max="13313" width="7.42578125" style="72" customWidth="1"/>
    <col min="13314" max="13314" width="9.42578125" style="72" customWidth="1"/>
    <col min="13315" max="13317" width="9.140625" style="72"/>
    <col min="13318" max="13323" width="3.7109375" style="72" customWidth="1"/>
    <col min="13324" max="13325" width="3.5703125" style="72" customWidth="1"/>
    <col min="13326" max="13326" width="4.85546875" style="72" customWidth="1"/>
    <col min="13327" max="13327" width="3.7109375" style="72" customWidth="1"/>
    <col min="13328" max="13328" width="5.28515625" style="72" customWidth="1"/>
    <col min="13329" max="13329" width="0" style="72" hidden="1" customWidth="1"/>
    <col min="13330" max="13330" width="3.5703125" style="72" customWidth="1"/>
    <col min="13331" max="13331" width="3.42578125" style="72" customWidth="1"/>
    <col min="13332" max="13333" width="3.5703125" style="72" customWidth="1"/>
    <col min="13334" max="13568" width="9.140625" style="72"/>
    <col min="13569" max="13569" width="7.42578125" style="72" customWidth="1"/>
    <col min="13570" max="13570" width="9.42578125" style="72" customWidth="1"/>
    <col min="13571" max="13573" width="9.140625" style="72"/>
    <col min="13574" max="13579" width="3.7109375" style="72" customWidth="1"/>
    <col min="13580" max="13581" width="3.5703125" style="72" customWidth="1"/>
    <col min="13582" max="13582" width="4.85546875" style="72" customWidth="1"/>
    <col min="13583" max="13583" width="3.7109375" style="72" customWidth="1"/>
    <col min="13584" max="13584" width="5.28515625" style="72" customWidth="1"/>
    <col min="13585" max="13585" width="0" style="72" hidden="1" customWidth="1"/>
    <col min="13586" max="13586" width="3.5703125" style="72" customWidth="1"/>
    <col min="13587" max="13587" width="3.42578125" style="72" customWidth="1"/>
    <col min="13588" max="13589" width="3.5703125" style="72" customWidth="1"/>
    <col min="13590" max="13824" width="9.140625" style="72"/>
    <col min="13825" max="13825" width="7.42578125" style="72" customWidth="1"/>
    <col min="13826" max="13826" width="9.42578125" style="72" customWidth="1"/>
    <col min="13827" max="13829" width="9.140625" style="72"/>
    <col min="13830" max="13835" width="3.7109375" style="72" customWidth="1"/>
    <col min="13836" max="13837" width="3.5703125" style="72" customWidth="1"/>
    <col min="13838" max="13838" width="4.85546875" style="72" customWidth="1"/>
    <col min="13839" max="13839" width="3.7109375" style="72" customWidth="1"/>
    <col min="13840" max="13840" width="5.28515625" style="72" customWidth="1"/>
    <col min="13841" max="13841" width="0" style="72" hidden="1" customWidth="1"/>
    <col min="13842" max="13842" width="3.5703125" style="72" customWidth="1"/>
    <col min="13843" max="13843" width="3.42578125" style="72" customWidth="1"/>
    <col min="13844" max="13845" width="3.5703125" style="72" customWidth="1"/>
    <col min="13846" max="14080" width="9.140625" style="72"/>
    <col min="14081" max="14081" width="7.42578125" style="72" customWidth="1"/>
    <col min="14082" max="14082" width="9.42578125" style="72" customWidth="1"/>
    <col min="14083" max="14085" width="9.140625" style="72"/>
    <col min="14086" max="14091" width="3.7109375" style="72" customWidth="1"/>
    <col min="14092" max="14093" width="3.5703125" style="72" customWidth="1"/>
    <col min="14094" max="14094" width="4.85546875" style="72" customWidth="1"/>
    <col min="14095" max="14095" width="3.7109375" style="72" customWidth="1"/>
    <col min="14096" max="14096" width="5.28515625" style="72" customWidth="1"/>
    <col min="14097" max="14097" width="0" style="72" hidden="1" customWidth="1"/>
    <col min="14098" max="14098" width="3.5703125" style="72" customWidth="1"/>
    <col min="14099" max="14099" width="3.42578125" style="72" customWidth="1"/>
    <col min="14100" max="14101" width="3.5703125" style="72" customWidth="1"/>
    <col min="14102" max="14336" width="9.140625" style="72"/>
    <col min="14337" max="14337" width="7.42578125" style="72" customWidth="1"/>
    <col min="14338" max="14338" width="9.42578125" style="72" customWidth="1"/>
    <col min="14339" max="14341" width="9.140625" style="72"/>
    <col min="14342" max="14347" width="3.7109375" style="72" customWidth="1"/>
    <col min="14348" max="14349" width="3.5703125" style="72" customWidth="1"/>
    <col min="14350" max="14350" width="4.85546875" style="72" customWidth="1"/>
    <col min="14351" max="14351" width="3.7109375" style="72" customWidth="1"/>
    <col min="14352" max="14352" width="5.28515625" style="72" customWidth="1"/>
    <col min="14353" max="14353" width="0" style="72" hidden="1" customWidth="1"/>
    <col min="14354" max="14354" width="3.5703125" style="72" customWidth="1"/>
    <col min="14355" max="14355" width="3.42578125" style="72" customWidth="1"/>
    <col min="14356" max="14357" width="3.5703125" style="72" customWidth="1"/>
    <col min="14358" max="14592" width="9.140625" style="72"/>
    <col min="14593" max="14593" width="7.42578125" style="72" customWidth="1"/>
    <col min="14594" max="14594" width="9.42578125" style="72" customWidth="1"/>
    <col min="14595" max="14597" width="9.140625" style="72"/>
    <col min="14598" max="14603" width="3.7109375" style="72" customWidth="1"/>
    <col min="14604" max="14605" width="3.5703125" style="72" customWidth="1"/>
    <col min="14606" max="14606" width="4.85546875" style="72" customWidth="1"/>
    <col min="14607" max="14607" width="3.7109375" style="72" customWidth="1"/>
    <col min="14608" max="14608" width="5.28515625" style="72" customWidth="1"/>
    <col min="14609" max="14609" width="0" style="72" hidden="1" customWidth="1"/>
    <col min="14610" max="14610" width="3.5703125" style="72" customWidth="1"/>
    <col min="14611" max="14611" width="3.42578125" style="72" customWidth="1"/>
    <col min="14612" max="14613" width="3.5703125" style="72" customWidth="1"/>
    <col min="14614" max="14848" width="9.140625" style="72"/>
    <col min="14849" max="14849" width="7.42578125" style="72" customWidth="1"/>
    <col min="14850" max="14850" width="9.42578125" style="72" customWidth="1"/>
    <col min="14851" max="14853" width="9.140625" style="72"/>
    <col min="14854" max="14859" width="3.7109375" style="72" customWidth="1"/>
    <col min="14860" max="14861" width="3.5703125" style="72" customWidth="1"/>
    <col min="14862" max="14862" width="4.85546875" style="72" customWidth="1"/>
    <col min="14863" max="14863" width="3.7109375" style="72" customWidth="1"/>
    <col min="14864" max="14864" width="5.28515625" style="72" customWidth="1"/>
    <col min="14865" max="14865" width="0" style="72" hidden="1" customWidth="1"/>
    <col min="14866" max="14866" width="3.5703125" style="72" customWidth="1"/>
    <col min="14867" max="14867" width="3.42578125" style="72" customWidth="1"/>
    <col min="14868" max="14869" width="3.5703125" style="72" customWidth="1"/>
    <col min="14870" max="15104" width="9.140625" style="72"/>
    <col min="15105" max="15105" width="7.42578125" style="72" customWidth="1"/>
    <col min="15106" max="15106" width="9.42578125" style="72" customWidth="1"/>
    <col min="15107" max="15109" width="9.140625" style="72"/>
    <col min="15110" max="15115" width="3.7109375" style="72" customWidth="1"/>
    <col min="15116" max="15117" width="3.5703125" style="72" customWidth="1"/>
    <col min="15118" max="15118" width="4.85546875" style="72" customWidth="1"/>
    <col min="15119" max="15119" width="3.7109375" style="72" customWidth="1"/>
    <col min="15120" max="15120" width="5.28515625" style="72" customWidth="1"/>
    <col min="15121" max="15121" width="0" style="72" hidden="1" customWidth="1"/>
    <col min="15122" max="15122" width="3.5703125" style="72" customWidth="1"/>
    <col min="15123" max="15123" width="3.42578125" style="72" customWidth="1"/>
    <col min="15124" max="15125" width="3.5703125" style="72" customWidth="1"/>
    <col min="15126" max="15360" width="9.140625" style="72"/>
    <col min="15361" max="15361" width="7.42578125" style="72" customWidth="1"/>
    <col min="15362" max="15362" width="9.42578125" style="72" customWidth="1"/>
    <col min="15363" max="15365" width="9.140625" style="72"/>
    <col min="15366" max="15371" width="3.7109375" style="72" customWidth="1"/>
    <col min="15372" max="15373" width="3.5703125" style="72" customWidth="1"/>
    <col min="15374" max="15374" width="4.85546875" style="72" customWidth="1"/>
    <col min="15375" max="15375" width="3.7109375" style="72" customWidth="1"/>
    <col min="15376" max="15376" width="5.28515625" style="72" customWidth="1"/>
    <col min="15377" max="15377" width="0" style="72" hidden="1" customWidth="1"/>
    <col min="15378" max="15378" width="3.5703125" style="72" customWidth="1"/>
    <col min="15379" max="15379" width="3.42578125" style="72" customWidth="1"/>
    <col min="15380" max="15381" width="3.5703125" style="72" customWidth="1"/>
    <col min="15382" max="15616" width="9.140625" style="72"/>
    <col min="15617" max="15617" width="7.42578125" style="72" customWidth="1"/>
    <col min="15618" max="15618" width="9.42578125" style="72" customWidth="1"/>
    <col min="15619" max="15621" width="9.140625" style="72"/>
    <col min="15622" max="15627" width="3.7109375" style="72" customWidth="1"/>
    <col min="15628" max="15629" width="3.5703125" style="72" customWidth="1"/>
    <col min="15630" max="15630" width="4.85546875" style="72" customWidth="1"/>
    <col min="15631" max="15631" width="3.7109375" style="72" customWidth="1"/>
    <col min="15632" max="15632" width="5.28515625" style="72" customWidth="1"/>
    <col min="15633" max="15633" width="0" style="72" hidden="1" customWidth="1"/>
    <col min="15634" max="15634" width="3.5703125" style="72" customWidth="1"/>
    <col min="15635" max="15635" width="3.42578125" style="72" customWidth="1"/>
    <col min="15636" max="15637" width="3.5703125" style="72" customWidth="1"/>
    <col min="15638" max="15872" width="9.140625" style="72"/>
    <col min="15873" max="15873" width="7.42578125" style="72" customWidth="1"/>
    <col min="15874" max="15874" width="9.42578125" style="72" customWidth="1"/>
    <col min="15875" max="15877" width="9.140625" style="72"/>
    <col min="15878" max="15883" width="3.7109375" style="72" customWidth="1"/>
    <col min="15884" max="15885" width="3.5703125" style="72" customWidth="1"/>
    <col min="15886" max="15886" width="4.85546875" style="72" customWidth="1"/>
    <col min="15887" max="15887" width="3.7109375" style="72" customWidth="1"/>
    <col min="15888" max="15888" width="5.28515625" style="72" customWidth="1"/>
    <col min="15889" max="15889" width="0" style="72" hidden="1" customWidth="1"/>
    <col min="15890" max="15890" width="3.5703125" style="72" customWidth="1"/>
    <col min="15891" max="15891" width="3.42578125" style="72" customWidth="1"/>
    <col min="15892" max="15893" width="3.5703125" style="72" customWidth="1"/>
    <col min="15894" max="16128" width="9.140625" style="72"/>
    <col min="16129" max="16129" width="7.42578125" style="72" customWidth="1"/>
    <col min="16130" max="16130" width="9.42578125" style="72" customWidth="1"/>
    <col min="16131" max="16133" width="9.140625" style="72"/>
    <col min="16134" max="16139" width="3.7109375" style="72" customWidth="1"/>
    <col min="16140" max="16141" width="3.5703125" style="72" customWidth="1"/>
    <col min="16142" max="16142" width="4.85546875" style="72" customWidth="1"/>
    <col min="16143" max="16143" width="3.7109375" style="72" customWidth="1"/>
    <col min="16144" max="16144" width="5.28515625" style="72" customWidth="1"/>
    <col min="16145" max="16145" width="0" style="72" hidden="1" customWidth="1"/>
    <col min="16146" max="16146" width="3.5703125" style="72" customWidth="1"/>
    <col min="16147" max="16147" width="3.42578125" style="72" customWidth="1"/>
    <col min="16148" max="16149" width="3.5703125" style="72" customWidth="1"/>
    <col min="16150" max="16384" width="9.140625" style="72"/>
  </cols>
  <sheetData>
    <row r="2" spans="1:21" x14ac:dyDescent="0.2">
      <c r="A2" s="70" t="s">
        <v>4</v>
      </c>
      <c r="B2" s="71" t="s">
        <v>5</v>
      </c>
      <c r="I2" s="73" t="s">
        <v>6</v>
      </c>
      <c r="J2" s="74"/>
      <c r="K2" s="74"/>
      <c r="L2" s="506" t="str">
        <f>project_station</f>
        <v>STATION NAME</v>
      </c>
      <c r="M2" s="506"/>
      <c r="N2" s="506"/>
      <c r="O2" s="506"/>
      <c r="P2" s="506"/>
      <c r="Q2" s="506"/>
      <c r="R2" s="506"/>
      <c r="S2" s="506"/>
      <c r="T2" s="506"/>
      <c r="U2" s="506"/>
    </row>
    <row r="3" spans="1:21" x14ac:dyDescent="0.2">
      <c r="B3" s="71" t="s">
        <v>142</v>
      </c>
      <c r="L3" s="75"/>
    </row>
    <row r="4" spans="1:21" x14ac:dyDescent="0.2">
      <c r="B4" s="71" t="s">
        <v>10</v>
      </c>
      <c r="I4" s="73" t="s">
        <v>9</v>
      </c>
      <c r="J4" s="76"/>
      <c r="K4" s="77"/>
      <c r="L4" s="506" t="str">
        <f>contact_name</f>
        <v>JOE ENGINEER</v>
      </c>
      <c r="M4" s="506"/>
      <c r="N4" s="506"/>
      <c r="O4" s="506"/>
      <c r="P4" s="506"/>
      <c r="Q4" s="506"/>
      <c r="R4" s="506"/>
      <c r="S4" s="506"/>
      <c r="T4" s="506"/>
      <c r="U4" s="506"/>
    </row>
    <row r="5" spans="1:21" x14ac:dyDescent="0.2">
      <c r="B5" s="71" t="s">
        <v>11</v>
      </c>
    </row>
    <row r="6" spans="1:21" x14ac:dyDescent="0.2">
      <c r="B6" s="78"/>
      <c r="I6" s="73" t="s">
        <v>12</v>
      </c>
      <c r="J6" s="74"/>
      <c r="L6" s="507" t="s">
        <v>143</v>
      </c>
      <c r="M6" s="507"/>
      <c r="N6" s="507"/>
      <c r="O6" s="507"/>
      <c r="P6" s="507"/>
      <c r="Q6" s="507"/>
      <c r="R6" s="507"/>
      <c r="S6" s="507"/>
      <c r="T6" s="507"/>
      <c r="U6" s="507"/>
    </row>
    <row r="7" spans="1:21" x14ac:dyDescent="0.2">
      <c r="B7" s="71"/>
      <c r="K7" s="79"/>
      <c r="L7" s="79"/>
      <c r="M7" s="79"/>
      <c r="N7" s="79"/>
      <c r="R7" s="79"/>
    </row>
    <row r="8" spans="1:21" x14ac:dyDescent="0.2">
      <c r="A8" s="79"/>
      <c r="B8" s="79"/>
      <c r="C8" s="79"/>
      <c r="D8" s="79"/>
      <c r="E8" s="79"/>
      <c r="F8" s="79"/>
      <c r="G8" s="79"/>
      <c r="K8" s="80"/>
      <c r="L8" s="81"/>
      <c r="M8" s="81"/>
      <c r="N8" s="81"/>
      <c r="O8" s="82"/>
      <c r="P8" s="82"/>
      <c r="Q8" s="82"/>
      <c r="R8" s="508" t="s">
        <v>13</v>
      </c>
      <c r="S8" s="508"/>
      <c r="T8" s="508"/>
      <c r="U8" s="508"/>
    </row>
    <row r="9" spans="1:21" x14ac:dyDescent="0.2">
      <c r="A9" s="83" t="s">
        <v>144</v>
      </c>
      <c r="B9" s="84"/>
      <c r="C9" s="84"/>
      <c r="D9" s="84"/>
      <c r="E9" s="84"/>
      <c r="F9" s="79"/>
      <c r="G9" s="506" t="s">
        <v>226</v>
      </c>
      <c r="H9" s="506"/>
      <c r="I9" s="506"/>
      <c r="J9" s="506"/>
      <c r="K9" s="506"/>
      <c r="L9" s="506"/>
      <c r="M9" s="506"/>
      <c r="N9" s="506"/>
      <c r="O9" s="506"/>
      <c r="P9" s="85"/>
      <c r="Q9" s="85"/>
      <c r="R9" s="86" t="s">
        <v>15</v>
      </c>
      <c r="S9" s="86" t="s">
        <v>16</v>
      </c>
      <c r="T9" s="86" t="s">
        <v>17</v>
      </c>
      <c r="U9" s="86" t="s">
        <v>18</v>
      </c>
    </row>
    <row r="10" spans="1:21" ht="13.5" customHeight="1" x14ac:dyDescent="0.2">
      <c r="A10" s="504" t="s">
        <v>145</v>
      </c>
      <c r="B10" s="504"/>
      <c r="C10" s="504"/>
      <c r="D10" s="504"/>
      <c r="E10" s="504"/>
      <c r="F10" s="504"/>
      <c r="G10" s="504"/>
      <c r="H10" s="504"/>
      <c r="I10" s="504"/>
      <c r="J10" s="504"/>
      <c r="K10" s="504"/>
      <c r="L10" s="504"/>
      <c r="M10" s="504"/>
      <c r="N10" s="504"/>
      <c r="O10" s="504"/>
      <c r="P10" s="504"/>
      <c r="Q10" s="87"/>
      <c r="R10" s="88"/>
      <c r="S10" s="88"/>
      <c r="T10" s="88"/>
      <c r="U10" s="88"/>
    </row>
    <row r="11" spans="1:21" ht="13.5" customHeight="1" x14ac:dyDescent="0.2">
      <c r="A11" s="504" t="s">
        <v>146</v>
      </c>
      <c r="B11" s="504"/>
      <c r="C11" s="504"/>
      <c r="D11" s="504"/>
      <c r="E11" s="504"/>
      <c r="F11" s="504"/>
      <c r="G11" s="504"/>
      <c r="H11" s="504"/>
      <c r="I11" s="504"/>
      <c r="J11" s="504"/>
      <c r="K11" s="504"/>
      <c r="L11" s="504"/>
      <c r="M11" s="504"/>
      <c r="N11" s="504"/>
      <c r="O11" s="504"/>
      <c r="P11" s="504"/>
      <c r="Q11" s="87"/>
      <c r="R11" s="88"/>
      <c r="S11" s="88"/>
      <c r="T11" s="88"/>
      <c r="U11" s="88"/>
    </row>
    <row r="12" spans="1:21" ht="13.5" customHeight="1" x14ac:dyDescent="0.2">
      <c r="A12" s="512"/>
      <c r="B12" s="512"/>
      <c r="C12" s="512"/>
      <c r="D12" s="512"/>
      <c r="E12" s="512"/>
      <c r="F12" s="512"/>
      <c r="G12" s="512"/>
      <c r="H12" s="512"/>
      <c r="I12" s="512"/>
      <c r="J12" s="512"/>
      <c r="K12" s="512"/>
      <c r="L12" s="512"/>
      <c r="M12" s="512"/>
      <c r="N12" s="512"/>
      <c r="O12" s="512"/>
      <c r="P12" s="512"/>
      <c r="Q12" s="87"/>
      <c r="R12" s="88"/>
      <c r="S12" s="88"/>
      <c r="T12" s="88"/>
      <c r="U12" s="88"/>
    </row>
    <row r="13" spans="1:21" ht="13.5" customHeight="1" x14ac:dyDescent="0.2">
      <c r="A13" s="511"/>
      <c r="B13" s="511"/>
      <c r="C13" s="511"/>
      <c r="D13" s="511"/>
      <c r="E13" s="511"/>
      <c r="F13" s="511"/>
      <c r="G13" s="511"/>
      <c r="H13" s="511"/>
      <c r="I13" s="511"/>
      <c r="J13" s="511"/>
      <c r="K13" s="511"/>
      <c r="L13" s="511"/>
      <c r="M13" s="511"/>
      <c r="N13" s="511"/>
      <c r="O13" s="511"/>
      <c r="P13" s="511"/>
      <c r="Q13" s="87"/>
      <c r="R13" s="88"/>
      <c r="S13" s="88"/>
      <c r="T13" s="88"/>
      <c r="U13" s="88"/>
    </row>
    <row r="14" spans="1:21" x14ac:dyDescent="0.2">
      <c r="A14" s="113"/>
      <c r="B14" s="113"/>
      <c r="C14" s="113"/>
      <c r="D14" s="113"/>
      <c r="E14" s="113"/>
      <c r="F14" s="113"/>
      <c r="G14" s="113"/>
      <c r="H14" s="113"/>
      <c r="I14" s="113"/>
      <c r="J14" s="113"/>
      <c r="K14" s="113"/>
      <c r="L14" s="113"/>
      <c r="M14" s="113"/>
      <c r="N14" s="113"/>
      <c r="O14" s="113"/>
      <c r="P14" s="82"/>
      <c r="Q14" s="82"/>
      <c r="R14" s="82"/>
      <c r="S14" s="82"/>
      <c r="T14" s="82"/>
      <c r="U14" s="82"/>
    </row>
    <row r="15" spans="1:21" x14ac:dyDescent="0.2">
      <c r="A15" s="113"/>
      <c r="B15" s="113"/>
      <c r="C15" s="113"/>
      <c r="D15" s="113"/>
      <c r="E15" s="113"/>
      <c r="F15" s="113"/>
      <c r="G15" s="113"/>
      <c r="H15" s="113"/>
      <c r="I15" s="113"/>
      <c r="J15" s="113"/>
      <c r="K15" s="113"/>
      <c r="L15" s="113"/>
      <c r="M15" s="113"/>
      <c r="N15" s="113"/>
      <c r="O15" s="113"/>
      <c r="P15" s="82"/>
      <c r="Q15" s="82"/>
      <c r="R15" s="82"/>
      <c r="S15" s="82"/>
      <c r="T15" s="82"/>
      <c r="U15" s="82"/>
    </row>
    <row r="16" spans="1:21" x14ac:dyDescent="0.2">
      <c r="A16" s="114" t="s">
        <v>23</v>
      </c>
      <c r="B16" s="115"/>
      <c r="C16" s="115"/>
      <c r="D16" s="115"/>
      <c r="E16" s="115"/>
      <c r="F16" s="115"/>
      <c r="G16" s="115"/>
      <c r="H16" s="115"/>
      <c r="I16" s="116"/>
      <c r="J16" s="116"/>
      <c r="K16" s="116"/>
      <c r="L16" s="116"/>
      <c r="M16" s="116"/>
      <c r="N16" s="116"/>
      <c r="O16" s="116"/>
      <c r="P16" s="116"/>
      <c r="Q16" s="115"/>
      <c r="R16" s="115"/>
      <c r="S16" s="115"/>
      <c r="T16" s="115"/>
      <c r="U16" s="115"/>
    </row>
    <row r="17" spans="1:22" x14ac:dyDescent="0.2">
      <c r="A17" s="509"/>
      <c r="B17" s="509"/>
      <c r="C17" s="509"/>
      <c r="D17" s="509"/>
      <c r="E17" s="509"/>
      <c r="F17" s="509"/>
      <c r="G17" s="509"/>
      <c r="H17" s="509"/>
      <c r="I17" s="509"/>
      <c r="J17" s="509"/>
      <c r="K17" s="509"/>
      <c r="L17" s="509"/>
      <c r="M17" s="509"/>
      <c r="N17" s="509"/>
      <c r="O17" s="509"/>
      <c r="P17" s="509"/>
      <c r="Q17" s="509"/>
      <c r="R17" s="509"/>
      <c r="S17" s="509"/>
      <c r="T17" s="509"/>
      <c r="U17" s="509"/>
    </row>
    <row r="18" spans="1:22" x14ac:dyDescent="0.2">
      <c r="A18" s="509"/>
      <c r="B18" s="509"/>
      <c r="C18" s="509"/>
      <c r="D18" s="509"/>
      <c r="E18" s="509"/>
      <c r="F18" s="509"/>
      <c r="G18" s="509"/>
      <c r="H18" s="509"/>
      <c r="I18" s="509"/>
      <c r="J18" s="509"/>
      <c r="K18" s="509"/>
      <c r="L18" s="509"/>
      <c r="M18" s="509"/>
      <c r="N18" s="509"/>
      <c r="O18" s="509"/>
      <c r="P18" s="509"/>
      <c r="Q18" s="509"/>
      <c r="R18" s="509"/>
      <c r="S18" s="509"/>
      <c r="T18" s="509"/>
      <c r="U18" s="509"/>
    </row>
    <row r="19" spans="1:22" x14ac:dyDescent="0.2">
      <c r="A19" s="510"/>
      <c r="B19" s="510"/>
      <c r="C19" s="510"/>
      <c r="D19" s="510"/>
      <c r="E19" s="510"/>
      <c r="F19" s="510"/>
      <c r="G19" s="510"/>
      <c r="H19" s="510"/>
      <c r="I19" s="510"/>
      <c r="J19" s="510"/>
      <c r="K19" s="510"/>
      <c r="L19" s="510"/>
      <c r="M19" s="510"/>
      <c r="N19" s="510"/>
      <c r="O19" s="510"/>
      <c r="P19" s="510"/>
      <c r="Q19" s="510"/>
      <c r="R19" s="510"/>
      <c r="S19" s="510"/>
      <c r="T19" s="510"/>
      <c r="U19" s="510"/>
    </row>
    <row r="20" spans="1:22" x14ac:dyDescent="0.2">
      <c r="A20" s="117"/>
      <c r="B20" s="117"/>
      <c r="C20" s="117"/>
      <c r="D20" s="117"/>
      <c r="E20" s="117"/>
      <c r="F20" s="117"/>
      <c r="G20" s="117"/>
      <c r="H20" s="117"/>
      <c r="I20" s="117"/>
      <c r="J20" s="117"/>
      <c r="K20" s="117"/>
      <c r="L20" s="117"/>
      <c r="M20" s="117"/>
      <c r="N20" s="117"/>
      <c r="O20" s="117"/>
      <c r="P20" s="117"/>
      <c r="Q20" s="117"/>
      <c r="R20" s="117"/>
      <c r="S20" s="117"/>
      <c r="T20" s="117"/>
      <c r="U20" s="117"/>
    </row>
    <row r="22" spans="1:22" x14ac:dyDescent="0.2">
      <c r="A22" s="70" t="s">
        <v>24</v>
      </c>
      <c r="C22" s="70" t="s">
        <v>25</v>
      </c>
      <c r="H22" s="70"/>
      <c r="J22" s="70" t="s">
        <v>147</v>
      </c>
      <c r="L22" s="90"/>
    </row>
    <row r="23" spans="1:22" ht="12.75" customHeight="1" x14ac:dyDescent="0.2">
      <c r="A23" s="91" t="s">
        <v>27</v>
      </c>
      <c r="C23" s="91" t="s">
        <v>148</v>
      </c>
      <c r="I23" s="92"/>
      <c r="J23" s="84"/>
      <c r="K23" s="505" t="s">
        <v>149</v>
      </c>
      <c r="L23" s="505"/>
      <c r="M23" s="505" t="s">
        <v>150</v>
      </c>
      <c r="N23" s="505"/>
      <c r="O23" s="93"/>
    </row>
    <row r="24" spans="1:22" ht="12.75" customHeight="1" x14ac:dyDescent="0.2">
      <c r="A24" s="91" t="s">
        <v>151</v>
      </c>
      <c r="C24" s="91" t="s">
        <v>152</v>
      </c>
      <c r="H24" s="94"/>
      <c r="I24" s="95"/>
      <c r="J24" s="96" t="s">
        <v>32</v>
      </c>
      <c r="K24" s="503"/>
      <c r="L24" s="503"/>
      <c r="M24" s="503"/>
      <c r="N24" s="503"/>
      <c r="O24" s="97"/>
      <c r="P24" s="98"/>
      <c r="Q24" s="94"/>
    </row>
    <row r="25" spans="1:22" ht="12.75" customHeight="1" x14ac:dyDescent="0.2">
      <c r="A25" s="91" t="s">
        <v>34</v>
      </c>
      <c r="C25" s="91" t="s">
        <v>153</v>
      </c>
      <c r="H25" s="94"/>
      <c r="I25" s="95"/>
      <c r="J25" s="96" t="s">
        <v>35</v>
      </c>
      <c r="K25" s="503"/>
      <c r="L25" s="503"/>
      <c r="M25" s="503"/>
      <c r="N25" s="503"/>
      <c r="O25" s="97"/>
      <c r="P25" s="98"/>
      <c r="Q25" s="94"/>
    </row>
    <row r="26" spans="1:22" ht="12.75" customHeight="1" x14ac:dyDescent="0.2">
      <c r="A26" s="91" t="s">
        <v>154</v>
      </c>
      <c r="C26" s="91" t="s">
        <v>155</v>
      </c>
      <c r="H26" s="94"/>
      <c r="I26" s="95"/>
      <c r="J26" s="96" t="s">
        <v>38</v>
      </c>
      <c r="K26" s="503"/>
      <c r="L26" s="503"/>
      <c r="M26" s="503"/>
      <c r="N26" s="503"/>
      <c r="O26" s="97"/>
      <c r="P26" s="98"/>
      <c r="Q26" s="94"/>
    </row>
    <row r="27" spans="1:22" ht="12.75" customHeight="1" x14ac:dyDescent="0.2">
      <c r="A27" s="91" t="s">
        <v>156</v>
      </c>
      <c r="C27" s="91" t="s">
        <v>157</v>
      </c>
      <c r="H27" s="94"/>
      <c r="I27" s="95"/>
      <c r="J27" s="96" t="s">
        <v>41</v>
      </c>
      <c r="K27" s="498"/>
      <c r="L27" s="498"/>
      <c r="M27" s="498"/>
      <c r="N27" s="498"/>
      <c r="O27" s="97"/>
      <c r="P27" s="98"/>
      <c r="Q27" s="94"/>
    </row>
    <row r="28" spans="1:22" ht="12.75" customHeight="1" x14ac:dyDescent="0.2">
      <c r="A28" s="91" t="s">
        <v>31</v>
      </c>
      <c r="C28" s="91"/>
      <c r="H28" s="94"/>
      <c r="I28" s="95"/>
      <c r="J28" s="99"/>
      <c r="K28" s="100"/>
      <c r="L28" s="99"/>
      <c r="M28" s="100"/>
      <c r="N28" s="99"/>
      <c r="O28" s="97"/>
      <c r="P28" s="98"/>
      <c r="Q28" s="79"/>
    </row>
    <row r="29" spans="1:22" ht="12" customHeight="1" x14ac:dyDescent="0.2">
      <c r="A29" s="91" t="s">
        <v>40</v>
      </c>
      <c r="C29" s="91"/>
      <c r="H29" s="94"/>
      <c r="I29" s="95"/>
      <c r="J29" s="94"/>
      <c r="K29" s="95"/>
      <c r="L29" s="94"/>
      <c r="M29" s="95"/>
      <c r="N29" s="94"/>
      <c r="O29" s="97"/>
      <c r="P29" s="98"/>
      <c r="Q29" s="79"/>
    </row>
    <row r="30" spans="1:22" ht="12.75" customHeight="1" x14ac:dyDescent="0.2">
      <c r="A30" s="91" t="s">
        <v>158</v>
      </c>
      <c r="C30" s="91"/>
      <c r="H30" s="94"/>
      <c r="I30" s="95"/>
      <c r="J30" s="94"/>
      <c r="K30" s="95"/>
      <c r="L30" s="94"/>
      <c r="M30" s="95"/>
      <c r="N30" s="94"/>
      <c r="O30" s="97"/>
      <c r="P30" s="98"/>
      <c r="Q30" s="79"/>
    </row>
    <row r="31" spans="1:22" ht="15.75" customHeight="1" x14ac:dyDescent="0.2"/>
    <row r="32" spans="1:22" s="101" customFormat="1" ht="12" customHeight="1" x14ac:dyDescent="0.2">
      <c r="A32" s="499" t="s">
        <v>44</v>
      </c>
      <c r="B32" s="500" t="s">
        <v>45</v>
      </c>
      <c r="C32" s="500"/>
      <c r="D32" s="500"/>
      <c r="E32" s="500"/>
      <c r="F32" s="500"/>
      <c r="G32" s="500"/>
      <c r="H32" s="500"/>
      <c r="I32" s="500"/>
      <c r="J32" s="500"/>
      <c r="K32" s="500"/>
      <c r="L32" s="500"/>
      <c r="M32" s="500"/>
      <c r="N32" s="500"/>
      <c r="O32" s="499" t="s">
        <v>46</v>
      </c>
      <c r="P32" s="499"/>
      <c r="Q32" s="499"/>
      <c r="R32" s="499"/>
      <c r="S32" s="499"/>
      <c r="T32" s="501" t="s">
        <v>159</v>
      </c>
      <c r="U32" s="501"/>
      <c r="V32" s="72"/>
    </row>
    <row r="33" spans="1:21" x14ac:dyDescent="0.2">
      <c r="A33" s="499"/>
      <c r="B33" s="499"/>
      <c r="C33" s="500"/>
      <c r="D33" s="500"/>
      <c r="E33" s="500"/>
      <c r="F33" s="500"/>
      <c r="G33" s="500"/>
      <c r="H33" s="500"/>
      <c r="I33" s="500"/>
      <c r="J33" s="500"/>
      <c r="K33" s="500"/>
      <c r="L33" s="500"/>
      <c r="M33" s="500"/>
      <c r="N33" s="500"/>
      <c r="O33" s="499"/>
      <c r="P33" s="499"/>
      <c r="Q33" s="499"/>
      <c r="R33" s="499"/>
      <c r="S33" s="499"/>
      <c r="T33" s="502" t="s">
        <v>160</v>
      </c>
      <c r="U33" s="502"/>
    </row>
    <row r="34" spans="1:21" x14ac:dyDescent="0.2">
      <c r="A34" s="102">
        <v>1</v>
      </c>
      <c r="B34" s="103" t="s">
        <v>161</v>
      </c>
      <c r="C34" s="104"/>
      <c r="D34" s="104"/>
      <c r="E34" s="104"/>
      <c r="F34" s="104"/>
      <c r="G34" s="104"/>
      <c r="H34" s="104"/>
      <c r="I34" s="104"/>
      <c r="J34" s="104"/>
      <c r="K34" s="104"/>
      <c r="L34" s="104"/>
      <c r="M34" s="104"/>
      <c r="N34" s="105"/>
      <c r="O34" s="493"/>
      <c r="P34" s="494"/>
      <c r="Q34" s="494"/>
      <c r="R34" s="494"/>
      <c r="S34" s="495"/>
      <c r="T34" s="496"/>
      <c r="U34" s="497"/>
    </row>
    <row r="35" spans="1:21" x14ac:dyDescent="0.2">
      <c r="A35" s="102">
        <f t="shared" ref="A35:A98" si="0">A34+1</f>
        <v>2</v>
      </c>
      <c r="B35" s="103"/>
      <c r="C35" s="104"/>
      <c r="D35" s="104"/>
      <c r="E35" s="104"/>
      <c r="F35" s="104"/>
      <c r="G35" s="104"/>
      <c r="H35" s="104"/>
      <c r="I35" s="104"/>
      <c r="J35" s="104"/>
      <c r="K35" s="104"/>
      <c r="L35" s="104"/>
      <c r="M35" s="104"/>
      <c r="N35" s="105"/>
      <c r="O35" s="493"/>
      <c r="P35" s="494"/>
      <c r="Q35" s="494"/>
      <c r="R35" s="494"/>
      <c r="S35" s="495"/>
      <c r="T35" s="496"/>
      <c r="U35" s="497"/>
    </row>
    <row r="36" spans="1:21" x14ac:dyDescent="0.2">
      <c r="A36" s="102">
        <f t="shared" si="0"/>
        <v>3</v>
      </c>
      <c r="B36" s="103"/>
      <c r="C36" s="104"/>
      <c r="D36" s="104"/>
      <c r="E36" s="104"/>
      <c r="F36" s="104"/>
      <c r="G36" s="104"/>
      <c r="H36" s="104"/>
      <c r="I36" s="104"/>
      <c r="J36" s="104"/>
      <c r="K36" s="104"/>
      <c r="L36" s="104"/>
      <c r="M36" s="104"/>
      <c r="N36" s="105"/>
      <c r="O36" s="493"/>
      <c r="P36" s="494"/>
      <c r="Q36" s="494"/>
      <c r="R36" s="494"/>
      <c r="S36" s="495"/>
      <c r="T36" s="496"/>
      <c r="U36" s="497"/>
    </row>
    <row r="37" spans="1:21" x14ac:dyDescent="0.2">
      <c r="A37" s="102">
        <f t="shared" si="0"/>
        <v>4</v>
      </c>
      <c r="B37" s="103"/>
      <c r="C37" s="104"/>
      <c r="D37" s="104"/>
      <c r="E37" s="104"/>
      <c r="F37" s="104"/>
      <c r="G37" s="104"/>
      <c r="H37" s="104"/>
      <c r="I37" s="104"/>
      <c r="J37" s="104"/>
      <c r="K37" s="104"/>
      <c r="L37" s="104"/>
      <c r="M37" s="104"/>
      <c r="N37" s="105"/>
      <c r="O37" s="493"/>
      <c r="P37" s="494"/>
      <c r="Q37" s="494"/>
      <c r="R37" s="494"/>
      <c r="S37" s="495"/>
      <c r="T37" s="496"/>
      <c r="U37" s="497"/>
    </row>
    <row r="38" spans="1:21" x14ac:dyDescent="0.2">
      <c r="A38" s="102">
        <f t="shared" si="0"/>
        <v>5</v>
      </c>
      <c r="B38" s="103"/>
      <c r="C38" s="104"/>
      <c r="D38" s="104"/>
      <c r="E38" s="104"/>
      <c r="F38" s="104"/>
      <c r="G38" s="104"/>
      <c r="H38" s="104"/>
      <c r="I38" s="104"/>
      <c r="J38" s="104"/>
      <c r="K38" s="104"/>
      <c r="L38" s="104"/>
      <c r="M38" s="104"/>
      <c r="N38" s="105"/>
      <c r="O38" s="493"/>
      <c r="P38" s="494"/>
      <c r="Q38" s="494"/>
      <c r="R38" s="494"/>
      <c r="S38" s="495"/>
      <c r="T38" s="496"/>
      <c r="U38" s="497"/>
    </row>
    <row r="39" spans="1:21" x14ac:dyDescent="0.2">
      <c r="A39" s="102">
        <f t="shared" si="0"/>
        <v>6</v>
      </c>
      <c r="B39" s="103"/>
      <c r="C39" s="104"/>
      <c r="D39" s="104"/>
      <c r="E39" s="104"/>
      <c r="F39" s="104"/>
      <c r="G39" s="104"/>
      <c r="H39" s="104"/>
      <c r="I39" s="104"/>
      <c r="J39" s="104"/>
      <c r="K39" s="104"/>
      <c r="L39" s="104"/>
      <c r="M39" s="104"/>
      <c r="N39" s="105"/>
      <c r="O39" s="493"/>
      <c r="P39" s="494"/>
      <c r="Q39" s="494"/>
      <c r="R39" s="494"/>
      <c r="S39" s="495"/>
      <c r="T39" s="496"/>
      <c r="U39" s="497"/>
    </row>
    <row r="40" spans="1:21" x14ac:dyDescent="0.2">
      <c r="A40" s="102">
        <f t="shared" si="0"/>
        <v>7</v>
      </c>
      <c r="B40" s="103"/>
      <c r="C40" s="104"/>
      <c r="D40" s="104"/>
      <c r="E40" s="104"/>
      <c r="F40" s="104"/>
      <c r="G40" s="104"/>
      <c r="H40" s="104"/>
      <c r="I40" s="104"/>
      <c r="J40" s="104"/>
      <c r="K40" s="104"/>
      <c r="L40" s="104"/>
      <c r="M40" s="104"/>
      <c r="N40" s="105"/>
      <c r="O40" s="493"/>
      <c r="P40" s="494"/>
      <c r="Q40" s="494"/>
      <c r="R40" s="494"/>
      <c r="S40" s="495"/>
      <c r="T40" s="496"/>
      <c r="U40" s="497"/>
    </row>
    <row r="41" spans="1:21" x14ac:dyDescent="0.2">
      <c r="A41" s="102">
        <f t="shared" si="0"/>
        <v>8</v>
      </c>
      <c r="B41" s="103"/>
      <c r="C41" s="104"/>
      <c r="D41" s="104"/>
      <c r="E41" s="104"/>
      <c r="F41" s="104"/>
      <c r="G41" s="104"/>
      <c r="H41" s="104"/>
      <c r="I41" s="104"/>
      <c r="J41" s="104"/>
      <c r="K41" s="104"/>
      <c r="L41" s="104"/>
      <c r="M41" s="104"/>
      <c r="N41" s="105"/>
      <c r="O41" s="493"/>
      <c r="P41" s="494"/>
      <c r="Q41" s="494"/>
      <c r="R41" s="494"/>
      <c r="S41" s="495"/>
      <c r="T41" s="496"/>
      <c r="U41" s="497"/>
    </row>
    <row r="42" spans="1:21" x14ac:dyDescent="0.2">
      <c r="A42" s="102">
        <f t="shared" si="0"/>
        <v>9</v>
      </c>
      <c r="B42" s="103"/>
      <c r="C42" s="104"/>
      <c r="D42" s="104"/>
      <c r="E42" s="104"/>
      <c r="F42" s="104"/>
      <c r="G42" s="104"/>
      <c r="H42" s="104"/>
      <c r="I42" s="104"/>
      <c r="J42" s="104"/>
      <c r="K42" s="104"/>
      <c r="L42" s="104"/>
      <c r="M42" s="104"/>
      <c r="N42" s="105"/>
      <c r="O42" s="493"/>
      <c r="P42" s="494"/>
      <c r="Q42" s="494"/>
      <c r="R42" s="494"/>
      <c r="S42" s="495"/>
      <c r="T42" s="496"/>
      <c r="U42" s="497"/>
    </row>
    <row r="43" spans="1:21" x14ac:dyDescent="0.2">
      <c r="A43" s="102">
        <f t="shared" si="0"/>
        <v>10</v>
      </c>
      <c r="B43" s="103"/>
      <c r="C43" s="104"/>
      <c r="D43" s="104"/>
      <c r="E43" s="104"/>
      <c r="F43" s="104"/>
      <c r="G43" s="104"/>
      <c r="H43" s="104"/>
      <c r="I43" s="104"/>
      <c r="J43" s="104"/>
      <c r="K43" s="104"/>
      <c r="L43" s="104"/>
      <c r="M43" s="104"/>
      <c r="N43" s="105"/>
      <c r="O43" s="493"/>
      <c r="P43" s="494"/>
      <c r="Q43" s="494"/>
      <c r="R43" s="494"/>
      <c r="S43" s="495"/>
      <c r="T43" s="496"/>
      <c r="U43" s="497"/>
    </row>
    <row r="44" spans="1:21" x14ac:dyDescent="0.2">
      <c r="A44" s="102">
        <f t="shared" si="0"/>
        <v>11</v>
      </c>
      <c r="B44" s="103"/>
      <c r="C44" s="104"/>
      <c r="D44" s="104"/>
      <c r="E44" s="104"/>
      <c r="F44" s="104"/>
      <c r="G44" s="104"/>
      <c r="H44" s="104"/>
      <c r="I44" s="104"/>
      <c r="J44" s="104"/>
      <c r="K44" s="104"/>
      <c r="L44" s="104"/>
      <c r="M44" s="104"/>
      <c r="N44" s="105"/>
      <c r="O44" s="493"/>
      <c r="P44" s="494"/>
      <c r="Q44" s="494"/>
      <c r="R44" s="494"/>
      <c r="S44" s="495"/>
      <c r="T44" s="496"/>
      <c r="U44" s="497"/>
    </row>
    <row r="45" spans="1:21" x14ac:dyDescent="0.2">
      <c r="A45" s="102">
        <f t="shared" si="0"/>
        <v>12</v>
      </c>
      <c r="B45" s="103"/>
      <c r="C45" s="104"/>
      <c r="D45" s="104"/>
      <c r="E45" s="104"/>
      <c r="F45" s="104"/>
      <c r="G45" s="104"/>
      <c r="H45" s="104"/>
      <c r="I45" s="104"/>
      <c r="J45" s="104"/>
      <c r="K45" s="104"/>
      <c r="L45" s="104"/>
      <c r="M45" s="104"/>
      <c r="N45" s="105"/>
      <c r="O45" s="493"/>
      <c r="P45" s="494"/>
      <c r="Q45" s="494"/>
      <c r="R45" s="494"/>
      <c r="S45" s="495"/>
      <c r="T45" s="496"/>
      <c r="U45" s="497"/>
    </row>
    <row r="46" spans="1:21" x14ac:dyDescent="0.2">
      <c r="A46" s="102">
        <f t="shared" si="0"/>
        <v>13</v>
      </c>
      <c r="B46" s="103"/>
      <c r="C46" s="104"/>
      <c r="D46" s="104"/>
      <c r="E46" s="104"/>
      <c r="F46" s="104"/>
      <c r="G46" s="104"/>
      <c r="H46" s="104"/>
      <c r="I46" s="104"/>
      <c r="J46" s="104"/>
      <c r="K46" s="104"/>
      <c r="L46" s="104"/>
      <c r="M46" s="104"/>
      <c r="N46" s="105"/>
      <c r="O46" s="493"/>
      <c r="P46" s="494"/>
      <c r="Q46" s="494"/>
      <c r="R46" s="494"/>
      <c r="S46" s="495"/>
      <c r="T46" s="496"/>
      <c r="U46" s="497"/>
    </row>
    <row r="47" spans="1:21" x14ac:dyDescent="0.2">
      <c r="A47" s="102">
        <f t="shared" si="0"/>
        <v>14</v>
      </c>
      <c r="B47" s="103"/>
      <c r="C47" s="104"/>
      <c r="D47" s="104"/>
      <c r="E47" s="104"/>
      <c r="F47" s="104"/>
      <c r="G47" s="104"/>
      <c r="H47" s="104"/>
      <c r="I47" s="104"/>
      <c r="J47" s="104"/>
      <c r="K47" s="104"/>
      <c r="L47" s="104"/>
      <c r="M47" s="104"/>
      <c r="N47" s="105"/>
      <c r="O47" s="493"/>
      <c r="P47" s="494"/>
      <c r="Q47" s="494"/>
      <c r="R47" s="494"/>
      <c r="S47" s="495"/>
      <c r="T47" s="496"/>
      <c r="U47" s="497"/>
    </row>
    <row r="48" spans="1:21" x14ac:dyDescent="0.2">
      <c r="A48" s="102">
        <f t="shared" si="0"/>
        <v>15</v>
      </c>
      <c r="B48" s="103"/>
      <c r="C48" s="104"/>
      <c r="D48" s="104"/>
      <c r="E48" s="104"/>
      <c r="F48" s="104"/>
      <c r="G48" s="104"/>
      <c r="H48" s="104"/>
      <c r="I48" s="104"/>
      <c r="J48" s="104"/>
      <c r="K48" s="104"/>
      <c r="L48" s="104"/>
      <c r="M48" s="104"/>
      <c r="N48" s="105"/>
      <c r="O48" s="493"/>
      <c r="P48" s="494"/>
      <c r="Q48" s="494"/>
      <c r="R48" s="494"/>
      <c r="S48" s="495"/>
      <c r="T48" s="496"/>
      <c r="U48" s="497"/>
    </row>
    <row r="49" spans="1:21" x14ac:dyDescent="0.2">
      <c r="A49" s="102">
        <f t="shared" si="0"/>
        <v>16</v>
      </c>
      <c r="B49" s="103"/>
      <c r="C49" s="104"/>
      <c r="D49" s="104"/>
      <c r="E49" s="104"/>
      <c r="F49" s="104"/>
      <c r="G49" s="104"/>
      <c r="H49" s="104"/>
      <c r="I49" s="104"/>
      <c r="J49" s="104"/>
      <c r="K49" s="104"/>
      <c r="L49" s="104"/>
      <c r="M49" s="104"/>
      <c r="N49" s="105"/>
      <c r="O49" s="493"/>
      <c r="P49" s="494"/>
      <c r="Q49" s="494"/>
      <c r="R49" s="494"/>
      <c r="S49" s="495"/>
      <c r="T49" s="496"/>
      <c r="U49" s="497"/>
    </row>
    <row r="50" spans="1:21" x14ac:dyDescent="0.2">
      <c r="A50" s="102">
        <f t="shared" si="0"/>
        <v>17</v>
      </c>
      <c r="B50" s="103"/>
      <c r="C50" s="104"/>
      <c r="D50" s="104"/>
      <c r="E50" s="104"/>
      <c r="F50" s="104"/>
      <c r="G50" s="104"/>
      <c r="H50" s="104"/>
      <c r="I50" s="104"/>
      <c r="J50" s="104"/>
      <c r="K50" s="104"/>
      <c r="L50" s="104"/>
      <c r="M50" s="104"/>
      <c r="N50" s="105"/>
      <c r="O50" s="493"/>
      <c r="P50" s="494"/>
      <c r="Q50" s="494"/>
      <c r="R50" s="494"/>
      <c r="S50" s="495"/>
      <c r="T50" s="496"/>
      <c r="U50" s="497"/>
    </row>
    <row r="51" spans="1:21" x14ac:dyDescent="0.2">
      <c r="A51" s="102">
        <f t="shared" si="0"/>
        <v>18</v>
      </c>
      <c r="B51" s="103"/>
      <c r="C51" s="104"/>
      <c r="D51" s="104"/>
      <c r="E51" s="104"/>
      <c r="F51" s="104"/>
      <c r="G51" s="104"/>
      <c r="H51" s="104"/>
      <c r="I51" s="104"/>
      <c r="J51" s="104"/>
      <c r="K51" s="104"/>
      <c r="L51" s="104"/>
      <c r="M51" s="104"/>
      <c r="N51" s="105"/>
      <c r="O51" s="493"/>
      <c r="P51" s="494"/>
      <c r="Q51" s="494"/>
      <c r="R51" s="494"/>
      <c r="S51" s="495"/>
      <c r="T51" s="496"/>
      <c r="U51" s="497"/>
    </row>
    <row r="52" spans="1:21" x14ac:dyDescent="0.2">
      <c r="A52" s="102">
        <f t="shared" si="0"/>
        <v>19</v>
      </c>
      <c r="B52" s="103"/>
      <c r="C52" s="104"/>
      <c r="D52" s="104"/>
      <c r="E52" s="104"/>
      <c r="F52" s="104"/>
      <c r="G52" s="104"/>
      <c r="H52" s="104"/>
      <c r="I52" s="104"/>
      <c r="J52" s="104"/>
      <c r="K52" s="104"/>
      <c r="L52" s="104"/>
      <c r="M52" s="104"/>
      <c r="N52" s="105"/>
      <c r="O52" s="493"/>
      <c r="P52" s="494"/>
      <c r="Q52" s="494"/>
      <c r="R52" s="494"/>
      <c r="S52" s="495"/>
      <c r="T52" s="496"/>
      <c r="U52" s="497"/>
    </row>
    <row r="53" spans="1:21" x14ac:dyDescent="0.2">
      <c r="A53" s="102">
        <f t="shared" si="0"/>
        <v>20</v>
      </c>
      <c r="B53" s="106"/>
      <c r="C53" s="89"/>
      <c r="D53" s="89"/>
      <c r="E53" s="89"/>
      <c r="F53" s="89"/>
      <c r="G53" s="89"/>
      <c r="H53" s="89"/>
      <c r="I53" s="89"/>
      <c r="J53" s="89"/>
      <c r="K53" s="89"/>
      <c r="L53" s="89"/>
      <c r="M53" s="89"/>
      <c r="N53" s="107"/>
      <c r="O53" s="493"/>
      <c r="P53" s="494"/>
      <c r="Q53" s="494"/>
      <c r="R53" s="494"/>
      <c r="S53" s="495"/>
      <c r="T53" s="496"/>
      <c r="U53" s="497"/>
    </row>
    <row r="54" spans="1:21" x14ac:dyDescent="0.2">
      <c r="A54" s="102">
        <f t="shared" si="0"/>
        <v>21</v>
      </c>
      <c r="B54" s="106"/>
      <c r="C54" s="89"/>
      <c r="D54" s="89"/>
      <c r="E54" s="89"/>
      <c r="F54" s="89"/>
      <c r="G54" s="89"/>
      <c r="H54" s="89"/>
      <c r="I54" s="89"/>
      <c r="J54" s="89"/>
      <c r="K54" s="89"/>
      <c r="L54" s="89"/>
      <c r="M54" s="89"/>
      <c r="N54" s="107"/>
      <c r="O54" s="493"/>
      <c r="P54" s="494"/>
      <c r="Q54" s="494"/>
      <c r="R54" s="494"/>
      <c r="S54" s="495"/>
      <c r="T54" s="496"/>
      <c r="U54" s="497"/>
    </row>
    <row r="55" spans="1:21" x14ac:dyDescent="0.2">
      <c r="A55" s="102">
        <f t="shared" si="0"/>
        <v>22</v>
      </c>
      <c r="B55" s="106"/>
      <c r="C55" s="89"/>
      <c r="D55" s="89"/>
      <c r="E55" s="89"/>
      <c r="F55" s="89"/>
      <c r="G55" s="89"/>
      <c r="H55" s="89"/>
      <c r="I55" s="89"/>
      <c r="J55" s="89"/>
      <c r="K55" s="89"/>
      <c r="L55" s="89"/>
      <c r="M55" s="89"/>
      <c r="N55" s="107"/>
      <c r="O55" s="493"/>
      <c r="P55" s="494"/>
      <c r="Q55" s="494"/>
      <c r="R55" s="494"/>
      <c r="S55" s="495"/>
      <c r="T55" s="496"/>
      <c r="U55" s="497"/>
    </row>
    <row r="56" spans="1:21" x14ac:dyDescent="0.2">
      <c r="A56" s="102">
        <f t="shared" si="0"/>
        <v>23</v>
      </c>
      <c r="B56" s="106"/>
      <c r="C56" s="89"/>
      <c r="D56" s="89"/>
      <c r="E56" s="89"/>
      <c r="F56" s="89"/>
      <c r="G56" s="89"/>
      <c r="H56" s="89"/>
      <c r="I56" s="89"/>
      <c r="J56" s="89"/>
      <c r="K56" s="89"/>
      <c r="L56" s="89"/>
      <c r="M56" s="89"/>
      <c r="N56" s="107"/>
      <c r="O56" s="493"/>
      <c r="P56" s="494"/>
      <c r="Q56" s="494"/>
      <c r="R56" s="494"/>
      <c r="S56" s="495"/>
      <c r="T56" s="496"/>
      <c r="U56" s="497"/>
    </row>
    <row r="57" spans="1:21" x14ac:dyDescent="0.2">
      <c r="A57" s="102">
        <f t="shared" si="0"/>
        <v>24</v>
      </c>
      <c r="B57" s="106"/>
      <c r="C57" s="89"/>
      <c r="D57" s="89"/>
      <c r="E57" s="89"/>
      <c r="F57" s="89"/>
      <c r="G57" s="89"/>
      <c r="H57" s="89"/>
      <c r="I57" s="89"/>
      <c r="J57" s="89"/>
      <c r="K57" s="89"/>
      <c r="L57" s="89"/>
      <c r="M57" s="89"/>
      <c r="N57" s="107"/>
      <c r="O57" s="493"/>
      <c r="P57" s="494"/>
      <c r="Q57" s="494"/>
      <c r="R57" s="494"/>
      <c r="S57" s="495"/>
      <c r="T57" s="496"/>
      <c r="U57" s="497"/>
    </row>
    <row r="58" spans="1:21" x14ac:dyDescent="0.2">
      <c r="A58" s="102">
        <f t="shared" si="0"/>
        <v>25</v>
      </c>
      <c r="B58" s="106"/>
      <c r="C58" s="89"/>
      <c r="D58" s="89"/>
      <c r="E58" s="89"/>
      <c r="F58" s="89"/>
      <c r="G58" s="89"/>
      <c r="H58" s="89"/>
      <c r="I58" s="89"/>
      <c r="J58" s="89"/>
      <c r="K58" s="89"/>
      <c r="L58" s="89"/>
      <c r="M58" s="89"/>
      <c r="N58" s="107"/>
      <c r="O58" s="493"/>
      <c r="P58" s="494"/>
      <c r="Q58" s="494"/>
      <c r="R58" s="494"/>
      <c r="S58" s="495"/>
      <c r="T58" s="496"/>
      <c r="U58" s="497"/>
    </row>
    <row r="59" spans="1:21" x14ac:dyDescent="0.2">
      <c r="A59" s="102">
        <f t="shared" si="0"/>
        <v>26</v>
      </c>
      <c r="B59" s="106"/>
      <c r="C59" s="89"/>
      <c r="D59" s="89"/>
      <c r="E59" s="89"/>
      <c r="F59" s="89"/>
      <c r="G59" s="89"/>
      <c r="H59" s="89"/>
      <c r="I59" s="89"/>
      <c r="J59" s="89"/>
      <c r="K59" s="89"/>
      <c r="L59" s="89"/>
      <c r="M59" s="89"/>
      <c r="N59" s="107"/>
      <c r="O59" s="493"/>
      <c r="P59" s="494"/>
      <c r="Q59" s="494"/>
      <c r="R59" s="494"/>
      <c r="S59" s="495"/>
      <c r="T59" s="496"/>
      <c r="U59" s="497"/>
    </row>
    <row r="60" spans="1:21" x14ac:dyDescent="0.2">
      <c r="A60" s="102">
        <f t="shared" si="0"/>
        <v>27</v>
      </c>
      <c r="B60" s="106"/>
      <c r="C60" s="89"/>
      <c r="D60" s="89"/>
      <c r="E60" s="89"/>
      <c r="F60" s="89"/>
      <c r="G60" s="89"/>
      <c r="H60" s="89"/>
      <c r="I60" s="89"/>
      <c r="J60" s="89"/>
      <c r="K60" s="89"/>
      <c r="L60" s="89"/>
      <c r="M60" s="89"/>
      <c r="N60" s="107"/>
      <c r="O60" s="493"/>
      <c r="P60" s="494"/>
      <c r="Q60" s="494"/>
      <c r="R60" s="494"/>
      <c r="S60" s="495"/>
      <c r="T60" s="496"/>
      <c r="U60" s="497"/>
    </row>
    <row r="61" spans="1:21" x14ac:dyDescent="0.2">
      <c r="A61" s="102">
        <f t="shared" si="0"/>
        <v>28</v>
      </c>
      <c r="B61" s="106"/>
      <c r="C61" s="89"/>
      <c r="D61" s="89"/>
      <c r="E61" s="89"/>
      <c r="F61" s="89"/>
      <c r="G61" s="89"/>
      <c r="H61" s="89"/>
      <c r="I61" s="89"/>
      <c r="J61" s="89"/>
      <c r="K61" s="89"/>
      <c r="L61" s="89"/>
      <c r="M61" s="89"/>
      <c r="N61" s="107"/>
      <c r="O61" s="493"/>
      <c r="P61" s="494"/>
      <c r="Q61" s="494"/>
      <c r="R61" s="494"/>
      <c r="S61" s="495"/>
      <c r="T61" s="496"/>
      <c r="U61" s="497"/>
    </row>
    <row r="62" spans="1:21" x14ac:dyDescent="0.2">
      <c r="A62" s="102">
        <f t="shared" si="0"/>
        <v>29</v>
      </c>
      <c r="B62" s="106"/>
      <c r="C62" s="89"/>
      <c r="D62" s="89"/>
      <c r="E62" s="89"/>
      <c r="F62" s="89"/>
      <c r="G62" s="89"/>
      <c r="H62" s="89"/>
      <c r="I62" s="89"/>
      <c r="J62" s="89"/>
      <c r="K62" s="89"/>
      <c r="L62" s="89"/>
      <c r="M62" s="89"/>
      <c r="N62" s="107"/>
      <c r="O62" s="493"/>
      <c r="P62" s="494"/>
      <c r="Q62" s="494"/>
      <c r="R62" s="494"/>
      <c r="S62" s="495"/>
      <c r="T62" s="496"/>
      <c r="U62" s="497"/>
    </row>
    <row r="63" spans="1:21" x14ac:dyDescent="0.2">
      <c r="A63" s="102">
        <f t="shared" si="0"/>
        <v>30</v>
      </c>
      <c r="B63" s="106"/>
      <c r="C63" s="89"/>
      <c r="D63" s="89"/>
      <c r="E63" s="89"/>
      <c r="F63" s="89"/>
      <c r="G63" s="89"/>
      <c r="H63" s="89"/>
      <c r="I63" s="89"/>
      <c r="J63" s="89"/>
      <c r="K63" s="89"/>
      <c r="L63" s="89"/>
      <c r="M63" s="89"/>
      <c r="N63" s="107"/>
      <c r="O63" s="493"/>
      <c r="P63" s="494"/>
      <c r="Q63" s="494"/>
      <c r="R63" s="494"/>
      <c r="S63" s="495"/>
      <c r="T63" s="496"/>
      <c r="U63" s="497"/>
    </row>
    <row r="64" spans="1:21" x14ac:dyDescent="0.2">
      <c r="A64" s="102">
        <f t="shared" si="0"/>
        <v>31</v>
      </c>
      <c r="B64" s="106"/>
      <c r="C64" s="89"/>
      <c r="D64" s="89"/>
      <c r="E64" s="89"/>
      <c r="F64" s="89"/>
      <c r="G64" s="89"/>
      <c r="H64" s="89"/>
      <c r="I64" s="89"/>
      <c r="J64" s="89"/>
      <c r="K64" s="89"/>
      <c r="L64" s="89"/>
      <c r="M64" s="89"/>
      <c r="N64" s="107"/>
      <c r="O64" s="493"/>
      <c r="P64" s="494"/>
      <c r="Q64" s="494"/>
      <c r="R64" s="494"/>
      <c r="S64" s="495"/>
      <c r="T64" s="496"/>
      <c r="U64" s="497"/>
    </row>
    <row r="65" spans="1:21" x14ac:dyDescent="0.2">
      <c r="A65" s="102">
        <f t="shared" si="0"/>
        <v>32</v>
      </c>
      <c r="B65" s="106"/>
      <c r="C65" s="89"/>
      <c r="D65" s="89"/>
      <c r="E65" s="89"/>
      <c r="F65" s="89"/>
      <c r="G65" s="89"/>
      <c r="H65" s="89"/>
      <c r="I65" s="89"/>
      <c r="J65" s="89"/>
      <c r="K65" s="89"/>
      <c r="L65" s="89"/>
      <c r="M65" s="89"/>
      <c r="N65" s="107"/>
      <c r="O65" s="493"/>
      <c r="P65" s="494"/>
      <c r="Q65" s="494"/>
      <c r="R65" s="494"/>
      <c r="S65" s="495"/>
      <c r="T65" s="496"/>
      <c r="U65" s="497"/>
    </row>
    <row r="66" spans="1:21" x14ac:dyDescent="0.2">
      <c r="A66" s="102">
        <f t="shared" si="0"/>
        <v>33</v>
      </c>
      <c r="B66" s="106"/>
      <c r="C66" s="89"/>
      <c r="D66" s="89"/>
      <c r="E66" s="89"/>
      <c r="F66" s="89"/>
      <c r="G66" s="89"/>
      <c r="H66" s="89"/>
      <c r="I66" s="89"/>
      <c r="J66" s="89"/>
      <c r="K66" s="89"/>
      <c r="L66" s="89"/>
      <c r="M66" s="89"/>
      <c r="N66" s="107"/>
      <c r="O66" s="493"/>
      <c r="P66" s="494"/>
      <c r="Q66" s="494"/>
      <c r="R66" s="494"/>
      <c r="S66" s="495"/>
      <c r="T66" s="496"/>
      <c r="U66" s="497"/>
    </row>
    <row r="67" spans="1:21" x14ac:dyDescent="0.2">
      <c r="A67" s="102">
        <f t="shared" si="0"/>
        <v>34</v>
      </c>
      <c r="B67" s="106"/>
      <c r="C67" s="89"/>
      <c r="D67" s="89"/>
      <c r="E67" s="89"/>
      <c r="F67" s="89"/>
      <c r="G67" s="89"/>
      <c r="H67" s="89"/>
      <c r="I67" s="89"/>
      <c r="J67" s="89"/>
      <c r="K67" s="89"/>
      <c r="L67" s="89"/>
      <c r="M67" s="89"/>
      <c r="N67" s="107"/>
      <c r="O67" s="493"/>
      <c r="P67" s="494"/>
      <c r="Q67" s="494"/>
      <c r="R67" s="494"/>
      <c r="S67" s="495"/>
      <c r="T67" s="496"/>
      <c r="U67" s="497"/>
    </row>
    <row r="68" spans="1:21" x14ac:dyDescent="0.2">
      <c r="A68" s="102">
        <f t="shared" si="0"/>
        <v>35</v>
      </c>
      <c r="B68" s="106"/>
      <c r="C68" s="89"/>
      <c r="D68" s="89"/>
      <c r="E68" s="89"/>
      <c r="F68" s="89"/>
      <c r="G68" s="89"/>
      <c r="H68" s="89"/>
      <c r="I68" s="89"/>
      <c r="J68" s="89"/>
      <c r="K68" s="89"/>
      <c r="L68" s="89"/>
      <c r="M68" s="89"/>
      <c r="N68" s="107"/>
      <c r="O68" s="493"/>
      <c r="P68" s="494"/>
      <c r="Q68" s="494"/>
      <c r="R68" s="494"/>
      <c r="S68" s="495"/>
      <c r="T68" s="496"/>
      <c r="U68" s="497"/>
    </row>
    <row r="69" spans="1:21" ht="12.75" customHeight="1" x14ac:dyDescent="0.2">
      <c r="A69" s="102">
        <f t="shared" si="0"/>
        <v>36</v>
      </c>
      <c r="B69" s="106"/>
      <c r="C69" s="89"/>
      <c r="D69" s="89"/>
      <c r="E69" s="89"/>
      <c r="F69" s="89"/>
      <c r="G69" s="89"/>
      <c r="H69" s="89"/>
      <c r="I69" s="89"/>
      <c r="J69" s="89"/>
      <c r="K69" s="89"/>
      <c r="L69" s="89"/>
      <c r="M69" s="89"/>
      <c r="N69" s="107"/>
      <c r="O69" s="493"/>
      <c r="P69" s="494"/>
      <c r="Q69" s="494"/>
      <c r="R69" s="494"/>
      <c r="S69" s="495"/>
      <c r="T69" s="496"/>
      <c r="U69" s="497"/>
    </row>
    <row r="70" spans="1:21" x14ac:dyDescent="0.2">
      <c r="A70" s="102">
        <f t="shared" si="0"/>
        <v>37</v>
      </c>
      <c r="B70" s="106"/>
      <c r="C70" s="89"/>
      <c r="D70" s="89"/>
      <c r="E70" s="89"/>
      <c r="F70" s="89"/>
      <c r="G70" s="89"/>
      <c r="H70" s="89"/>
      <c r="I70" s="89"/>
      <c r="J70" s="89"/>
      <c r="K70" s="89"/>
      <c r="L70" s="89"/>
      <c r="M70" s="89"/>
      <c r="N70" s="107"/>
      <c r="O70" s="493"/>
      <c r="P70" s="494"/>
      <c r="Q70" s="494"/>
      <c r="R70" s="494"/>
      <c r="S70" s="495"/>
      <c r="T70" s="496"/>
      <c r="U70" s="497"/>
    </row>
    <row r="71" spans="1:21" x14ac:dyDescent="0.2">
      <c r="A71" s="102">
        <f t="shared" si="0"/>
        <v>38</v>
      </c>
      <c r="B71" s="106"/>
      <c r="C71" s="89"/>
      <c r="D71" s="89"/>
      <c r="E71" s="89"/>
      <c r="F71" s="89"/>
      <c r="G71" s="89"/>
      <c r="H71" s="89"/>
      <c r="I71" s="89"/>
      <c r="J71" s="89"/>
      <c r="K71" s="89"/>
      <c r="L71" s="89"/>
      <c r="M71" s="89"/>
      <c r="N71" s="107"/>
      <c r="O71" s="493"/>
      <c r="P71" s="494"/>
      <c r="Q71" s="494"/>
      <c r="R71" s="494"/>
      <c r="S71" s="495"/>
      <c r="T71" s="496"/>
      <c r="U71" s="497"/>
    </row>
    <row r="72" spans="1:21" x14ac:dyDescent="0.2">
      <c r="A72" s="102">
        <f t="shared" si="0"/>
        <v>39</v>
      </c>
      <c r="B72" s="106"/>
      <c r="C72" s="89"/>
      <c r="D72" s="89"/>
      <c r="E72" s="89"/>
      <c r="F72" s="89"/>
      <c r="G72" s="89"/>
      <c r="H72" s="89"/>
      <c r="I72" s="89"/>
      <c r="J72" s="89"/>
      <c r="K72" s="89"/>
      <c r="L72" s="89"/>
      <c r="M72" s="89"/>
      <c r="N72" s="107"/>
      <c r="O72" s="493"/>
      <c r="P72" s="494"/>
      <c r="Q72" s="494"/>
      <c r="R72" s="494"/>
      <c r="S72" s="495"/>
      <c r="T72" s="496"/>
      <c r="U72" s="497"/>
    </row>
    <row r="73" spans="1:21" x14ac:dyDescent="0.2">
      <c r="A73" s="102">
        <f t="shared" si="0"/>
        <v>40</v>
      </c>
      <c r="B73" s="106"/>
      <c r="C73" s="89"/>
      <c r="D73" s="89"/>
      <c r="E73" s="89"/>
      <c r="F73" s="89"/>
      <c r="G73" s="89"/>
      <c r="H73" s="89"/>
      <c r="I73" s="89"/>
      <c r="J73" s="89"/>
      <c r="K73" s="89"/>
      <c r="L73" s="89"/>
      <c r="M73" s="89"/>
      <c r="N73" s="107"/>
      <c r="O73" s="493"/>
      <c r="P73" s="494"/>
      <c r="Q73" s="494"/>
      <c r="R73" s="494"/>
      <c r="S73" s="495"/>
      <c r="T73" s="496"/>
      <c r="U73" s="497"/>
    </row>
    <row r="74" spans="1:21" x14ac:dyDescent="0.2">
      <c r="A74" s="102">
        <f t="shared" si="0"/>
        <v>41</v>
      </c>
      <c r="B74" s="106"/>
      <c r="C74" s="89"/>
      <c r="D74" s="89"/>
      <c r="E74" s="89"/>
      <c r="F74" s="89"/>
      <c r="G74" s="89"/>
      <c r="H74" s="89"/>
      <c r="I74" s="89"/>
      <c r="J74" s="89"/>
      <c r="K74" s="89"/>
      <c r="L74" s="89"/>
      <c r="M74" s="89"/>
      <c r="N74" s="107"/>
      <c r="O74" s="493"/>
      <c r="P74" s="494"/>
      <c r="Q74" s="494"/>
      <c r="R74" s="494"/>
      <c r="S74" s="495"/>
      <c r="T74" s="496"/>
      <c r="U74" s="497"/>
    </row>
    <row r="75" spans="1:21" x14ac:dyDescent="0.2">
      <c r="A75" s="102">
        <f t="shared" si="0"/>
        <v>42</v>
      </c>
      <c r="B75" s="106"/>
      <c r="C75" s="89"/>
      <c r="D75" s="89"/>
      <c r="E75" s="89"/>
      <c r="F75" s="89"/>
      <c r="G75" s="89"/>
      <c r="H75" s="89"/>
      <c r="I75" s="89"/>
      <c r="J75" s="89"/>
      <c r="K75" s="89"/>
      <c r="L75" s="89"/>
      <c r="M75" s="89"/>
      <c r="N75" s="107"/>
      <c r="O75" s="493"/>
      <c r="P75" s="494"/>
      <c r="Q75" s="494"/>
      <c r="R75" s="494"/>
      <c r="S75" s="495"/>
      <c r="T75" s="496"/>
      <c r="U75" s="497"/>
    </row>
    <row r="76" spans="1:21" x14ac:dyDescent="0.2">
      <c r="A76" s="102">
        <f t="shared" si="0"/>
        <v>43</v>
      </c>
      <c r="B76" s="106"/>
      <c r="C76" s="89"/>
      <c r="D76" s="89"/>
      <c r="E76" s="89"/>
      <c r="F76" s="89"/>
      <c r="G76" s="89"/>
      <c r="H76" s="89"/>
      <c r="I76" s="89"/>
      <c r="J76" s="89"/>
      <c r="K76" s="89"/>
      <c r="L76" s="89"/>
      <c r="M76" s="89"/>
      <c r="N76" s="107"/>
      <c r="O76" s="493"/>
      <c r="P76" s="494"/>
      <c r="Q76" s="494"/>
      <c r="R76" s="494"/>
      <c r="S76" s="495"/>
      <c r="T76" s="496"/>
      <c r="U76" s="497"/>
    </row>
    <row r="77" spans="1:21" x14ac:dyDescent="0.2">
      <c r="A77" s="102">
        <f t="shared" si="0"/>
        <v>44</v>
      </c>
      <c r="B77" s="106"/>
      <c r="C77" s="89"/>
      <c r="D77" s="89"/>
      <c r="E77" s="89"/>
      <c r="F77" s="89"/>
      <c r="G77" s="89"/>
      <c r="H77" s="89"/>
      <c r="I77" s="89"/>
      <c r="J77" s="89"/>
      <c r="K77" s="89"/>
      <c r="L77" s="89"/>
      <c r="M77" s="89"/>
      <c r="N77" s="107"/>
      <c r="O77" s="493"/>
      <c r="P77" s="494"/>
      <c r="Q77" s="494"/>
      <c r="R77" s="494"/>
      <c r="S77" s="495"/>
      <c r="T77" s="496"/>
      <c r="U77" s="497"/>
    </row>
    <row r="78" spans="1:21" x14ac:dyDescent="0.2">
      <c r="A78" s="102">
        <f t="shared" si="0"/>
        <v>45</v>
      </c>
      <c r="B78" s="106"/>
      <c r="C78" s="89"/>
      <c r="D78" s="89"/>
      <c r="E78" s="89"/>
      <c r="F78" s="89"/>
      <c r="G78" s="89"/>
      <c r="H78" s="89"/>
      <c r="I78" s="89"/>
      <c r="J78" s="89"/>
      <c r="K78" s="89"/>
      <c r="L78" s="89"/>
      <c r="M78" s="89"/>
      <c r="N78" s="107"/>
      <c r="O78" s="493"/>
      <c r="P78" s="494"/>
      <c r="Q78" s="494"/>
      <c r="R78" s="494"/>
      <c r="S78" s="495"/>
      <c r="T78" s="496"/>
      <c r="U78" s="497"/>
    </row>
    <row r="79" spans="1:21" x14ac:dyDescent="0.2">
      <c r="A79" s="102">
        <f t="shared" si="0"/>
        <v>46</v>
      </c>
      <c r="B79" s="106"/>
      <c r="C79" s="89"/>
      <c r="D79" s="89"/>
      <c r="E79" s="89"/>
      <c r="F79" s="89"/>
      <c r="G79" s="89"/>
      <c r="H79" s="89"/>
      <c r="I79" s="89"/>
      <c r="J79" s="89"/>
      <c r="K79" s="89"/>
      <c r="L79" s="89"/>
      <c r="M79" s="89"/>
      <c r="N79" s="107"/>
      <c r="O79" s="493"/>
      <c r="P79" s="494"/>
      <c r="Q79" s="494"/>
      <c r="R79" s="494"/>
      <c r="S79" s="495"/>
      <c r="T79" s="496"/>
      <c r="U79" s="497"/>
    </row>
    <row r="80" spans="1:21" x14ac:dyDescent="0.2">
      <c r="A80" s="102">
        <f t="shared" si="0"/>
        <v>47</v>
      </c>
      <c r="B80" s="106"/>
      <c r="C80" s="89"/>
      <c r="D80" s="89"/>
      <c r="E80" s="89"/>
      <c r="F80" s="89"/>
      <c r="G80" s="89"/>
      <c r="H80" s="89"/>
      <c r="I80" s="89"/>
      <c r="J80" s="89"/>
      <c r="K80" s="89"/>
      <c r="L80" s="89"/>
      <c r="M80" s="89"/>
      <c r="N80" s="107"/>
      <c r="O80" s="493"/>
      <c r="P80" s="494"/>
      <c r="Q80" s="494"/>
      <c r="R80" s="494"/>
      <c r="S80" s="495"/>
      <c r="T80" s="496"/>
      <c r="U80" s="497"/>
    </row>
    <row r="81" spans="1:21" x14ac:dyDescent="0.2">
      <c r="A81" s="102">
        <f t="shared" si="0"/>
        <v>48</v>
      </c>
      <c r="B81" s="106"/>
      <c r="C81" s="89"/>
      <c r="D81" s="89"/>
      <c r="E81" s="89"/>
      <c r="F81" s="89"/>
      <c r="G81" s="89"/>
      <c r="H81" s="89"/>
      <c r="I81" s="89"/>
      <c r="J81" s="89"/>
      <c r="K81" s="89"/>
      <c r="L81" s="89"/>
      <c r="M81" s="89"/>
      <c r="N81" s="107"/>
      <c r="O81" s="493"/>
      <c r="P81" s="494"/>
      <c r="Q81" s="494"/>
      <c r="R81" s="494"/>
      <c r="S81" s="495"/>
      <c r="T81" s="496"/>
      <c r="U81" s="497"/>
    </row>
    <row r="82" spans="1:21" x14ac:dyDescent="0.2">
      <c r="A82" s="102">
        <f t="shared" si="0"/>
        <v>49</v>
      </c>
      <c r="B82" s="106"/>
      <c r="C82" s="89"/>
      <c r="D82" s="89"/>
      <c r="E82" s="89"/>
      <c r="F82" s="89"/>
      <c r="G82" s="89"/>
      <c r="H82" s="89"/>
      <c r="I82" s="89"/>
      <c r="J82" s="89"/>
      <c r="K82" s="89"/>
      <c r="L82" s="89"/>
      <c r="M82" s="89"/>
      <c r="N82" s="107"/>
      <c r="O82" s="493"/>
      <c r="P82" s="494"/>
      <c r="Q82" s="494"/>
      <c r="R82" s="494"/>
      <c r="S82" s="495"/>
      <c r="T82" s="496"/>
      <c r="U82" s="497"/>
    </row>
    <row r="83" spans="1:21" x14ac:dyDescent="0.2">
      <c r="A83" s="102">
        <f t="shared" si="0"/>
        <v>50</v>
      </c>
      <c r="B83" s="106"/>
      <c r="C83" s="89"/>
      <c r="D83" s="89"/>
      <c r="E83" s="89"/>
      <c r="F83" s="89"/>
      <c r="G83" s="89"/>
      <c r="H83" s="89"/>
      <c r="I83" s="89"/>
      <c r="J83" s="89"/>
      <c r="K83" s="89"/>
      <c r="L83" s="89"/>
      <c r="M83" s="89"/>
      <c r="N83" s="107"/>
      <c r="O83" s="493"/>
      <c r="P83" s="494"/>
      <c r="Q83" s="494"/>
      <c r="R83" s="494"/>
      <c r="S83" s="495"/>
      <c r="T83" s="496"/>
      <c r="U83" s="497"/>
    </row>
    <row r="84" spans="1:21" x14ac:dyDescent="0.2">
      <c r="A84" s="102">
        <f t="shared" si="0"/>
        <v>51</v>
      </c>
      <c r="B84" s="106"/>
      <c r="C84" s="89"/>
      <c r="D84" s="89"/>
      <c r="E84" s="89"/>
      <c r="F84" s="89"/>
      <c r="G84" s="89"/>
      <c r="H84" s="89"/>
      <c r="I84" s="89"/>
      <c r="J84" s="89"/>
      <c r="K84" s="89"/>
      <c r="L84" s="89"/>
      <c r="M84" s="89"/>
      <c r="N84" s="107"/>
      <c r="O84" s="493"/>
      <c r="P84" s="494"/>
      <c r="Q84" s="494"/>
      <c r="R84" s="494"/>
      <c r="S84" s="495"/>
      <c r="T84" s="496"/>
      <c r="U84" s="497"/>
    </row>
    <row r="85" spans="1:21" x14ac:dyDescent="0.2">
      <c r="A85" s="102">
        <f t="shared" si="0"/>
        <v>52</v>
      </c>
      <c r="B85" s="106"/>
      <c r="C85" s="89"/>
      <c r="D85" s="89"/>
      <c r="E85" s="89"/>
      <c r="F85" s="89"/>
      <c r="G85" s="89"/>
      <c r="H85" s="89"/>
      <c r="I85" s="89"/>
      <c r="J85" s="89"/>
      <c r="K85" s="89"/>
      <c r="L85" s="89"/>
      <c r="M85" s="89"/>
      <c r="N85" s="107"/>
      <c r="O85" s="493"/>
      <c r="P85" s="494"/>
      <c r="Q85" s="494"/>
      <c r="R85" s="494"/>
      <c r="S85" s="495"/>
      <c r="T85" s="496"/>
      <c r="U85" s="497"/>
    </row>
    <row r="86" spans="1:21" x14ac:dyDescent="0.2">
      <c r="A86" s="102">
        <f t="shared" si="0"/>
        <v>53</v>
      </c>
      <c r="B86" s="106"/>
      <c r="C86" s="89"/>
      <c r="D86" s="89"/>
      <c r="E86" s="89"/>
      <c r="F86" s="89"/>
      <c r="G86" s="89"/>
      <c r="H86" s="89"/>
      <c r="I86" s="89"/>
      <c r="J86" s="89"/>
      <c r="K86" s="89"/>
      <c r="L86" s="89"/>
      <c r="M86" s="89"/>
      <c r="N86" s="107"/>
      <c r="O86" s="493"/>
      <c r="P86" s="494"/>
      <c r="Q86" s="494"/>
      <c r="R86" s="494"/>
      <c r="S86" s="495"/>
      <c r="T86" s="496"/>
      <c r="U86" s="497"/>
    </row>
    <row r="87" spans="1:21" x14ac:dyDescent="0.2">
      <c r="A87" s="102">
        <f t="shared" si="0"/>
        <v>54</v>
      </c>
      <c r="B87" s="106"/>
      <c r="C87" s="89"/>
      <c r="D87" s="89"/>
      <c r="E87" s="89"/>
      <c r="F87" s="89"/>
      <c r="G87" s="89"/>
      <c r="H87" s="89"/>
      <c r="I87" s="89"/>
      <c r="J87" s="89"/>
      <c r="K87" s="89"/>
      <c r="L87" s="89"/>
      <c r="M87" s="89"/>
      <c r="N87" s="107"/>
      <c r="O87" s="493"/>
      <c r="P87" s="494"/>
      <c r="Q87" s="494"/>
      <c r="R87" s="494"/>
      <c r="S87" s="495"/>
      <c r="T87" s="496"/>
      <c r="U87" s="497"/>
    </row>
    <row r="88" spans="1:21" x14ac:dyDescent="0.2">
      <c r="A88" s="102">
        <f t="shared" si="0"/>
        <v>55</v>
      </c>
      <c r="B88" s="106"/>
      <c r="C88" s="89"/>
      <c r="D88" s="89"/>
      <c r="E88" s="89"/>
      <c r="F88" s="89"/>
      <c r="G88" s="89"/>
      <c r="H88" s="89"/>
      <c r="I88" s="89"/>
      <c r="J88" s="89"/>
      <c r="K88" s="89"/>
      <c r="L88" s="89"/>
      <c r="M88" s="89"/>
      <c r="N88" s="107"/>
      <c r="O88" s="493"/>
      <c r="P88" s="494"/>
      <c r="Q88" s="494"/>
      <c r="R88" s="494"/>
      <c r="S88" s="495"/>
      <c r="T88" s="496"/>
      <c r="U88" s="497"/>
    </row>
    <row r="89" spans="1:21" x14ac:dyDescent="0.2">
      <c r="A89" s="102">
        <f t="shared" si="0"/>
        <v>56</v>
      </c>
      <c r="B89" s="106"/>
      <c r="C89" s="89"/>
      <c r="D89" s="89"/>
      <c r="E89" s="89"/>
      <c r="F89" s="89"/>
      <c r="G89" s="89"/>
      <c r="H89" s="89"/>
      <c r="I89" s="89"/>
      <c r="J89" s="89"/>
      <c r="K89" s="89"/>
      <c r="L89" s="89"/>
      <c r="M89" s="89"/>
      <c r="N89" s="107"/>
      <c r="O89" s="493"/>
      <c r="P89" s="494"/>
      <c r="Q89" s="494"/>
      <c r="R89" s="494"/>
      <c r="S89" s="495"/>
      <c r="T89" s="496"/>
      <c r="U89" s="497"/>
    </row>
    <row r="90" spans="1:21" x14ac:dyDescent="0.2">
      <c r="A90" s="102">
        <f t="shared" si="0"/>
        <v>57</v>
      </c>
      <c r="B90" s="106"/>
      <c r="C90" s="89"/>
      <c r="D90" s="89"/>
      <c r="E90" s="89"/>
      <c r="F90" s="89"/>
      <c r="G90" s="89"/>
      <c r="H90" s="89"/>
      <c r="I90" s="89"/>
      <c r="J90" s="89"/>
      <c r="K90" s="89"/>
      <c r="L90" s="89"/>
      <c r="M90" s="89"/>
      <c r="N90" s="107"/>
      <c r="O90" s="493"/>
      <c r="P90" s="494"/>
      <c r="Q90" s="494"/>
      <c r="R90" s="494"/>
      <c r="S90" s="495"/>
      <c r="T90" s="496"/>
      <c r="U90" s="497"/>
    </row>
    <row r="91" spans="1:21" x14ac:dyDescent="0.2">
      <c r="A91" s="102">
        <f t="shared" si="0"/>
        <v>58</v>
      </c>
      <c r="B91" s="106"/>
      <c r="C91" s="89"/>
      <c r="D91" s="89"/>
      <c r="E91" s="89"/>
      <c r="F91" s="89"/>
      <c r="G91" s="89"/>
      <c r="H91" s="89"/>
      <c r="I91" s="89"/>
      <c r="J91" s="89"/>
      <c r="K91" s="89"/>
      <c r="L91" s="89"/>
      <c r="M91" s="89"/>
      <c r="N91" s="107"/>
      <c r="O91" s="493"/>
      <c r="P91" s="494"/>
      <c r="Q91" s="494"/>
      <c r="R91" s="494"/>
      <c r="S91" s="495"/>
      <c r="T91" s="496"/>
      <c r="U91" s="497"/>
    </row>
    <row r="92" spans="1:21" x14ac:dyDescent="0.2">
      <c r="A92" s="102">
        <f t="shared" si="0"/>
        <v>59</v>
      </c>
      <c r="B92" s="106"/>
      <c r="C92" s="89"/>
      <c r="D92" s="89"/>
      <c r="E92" s="89"/>
      <c r="F92" s="89"/>
      <c r="G92" s="89"/>
      <c r="H92" s="89"/>
      <c r="I92" s="89"/>
      <c r="J92" s="89"/>
      <c r="K92" s="89"/>
      <c r="L92" s="89"/>
      <c r="M92" s="89"/>
      <c r="N92" s="107"/>
      <c r="O92" s="493"/>
      <c r="P92" s="494"/>
      <c r="Q92" s="494"/>
      <c r="R92" s="494"/>
      <c r="S92" s="495"/>
      <c r="T92" s="496"/>
      <c r="U92" s="497"/>
    </row>
    <row r="93" spans="1:21" x14ac:dyDescent="0.2">
      <c r="A93" s="102">
        <f t="shared" si="0"/>
        <v>60</v>
      </c>
      <c r="B93" s="106"/>
      <c r="C93" s="89"/>
      <c r="D93" s="89"/>
      <c r="E93" s="89"/>
      <c r="F93" s="89"/>
      <c r="G93" s="89"/>
      <c r="H93" s="89"/>
      <c r="I93" s="89"/>
      <c r="J93" s="89"/>
      <c r="K93" s="89"/>
      <c r="L93" s="89"/>
      <c r="M93" s="89"/>
      <c r="N93" s="107"/>
      <c r="O93" s="493"/>
      <c r="P93" s="494"/>
      <c r="Q93" s="494"/>
      <c r="R93" s="494"/>
      <c r="S93" s="495"/>
      <c r="T93" s="496"/>
      <c r="U93" s="497"/>
    </row>
    <row r="94" spans="1:21" x14ac:dyDescent="0.2">
      <c r="A94" s="102">
        <f t="shared" si="0"/>
        <v>61</v>
      </c>
      <c r="B94" s="106"/>
      <c r="C94" s="89"/>
      <c r="D94" s="89"/>
      <c r="E94" s="89"/>
      <c r="F94" s="89"/>
      <c r="G94" s="89"/>
      <c r="H94" s="89"/>
      <c r="I94" s="89"/>
      <c r="J94" s="89"/>
      <c r="K94" s="89"/>
      <c r="L94" s="89"/>
      <c r="M94" s="89"/>
      <c r="N94" s="107"/>
      <c r="O94" s="493"/>
      <c r="P94" s="494"/>
      <c r="Q94" s="494"/>
      <c r="R94" s="494"/>
      <c r="S94" s="495"/>
      <c r="T94" s="496"/>
      <c r="U94" s="497"/>
    </row>
    <row r="95" spans="1:21" x14ac:dyDescent="0.2">
      <c r="A95" s="102">
        <f t="shared" si="0"/>
        <v>62</v>
      </c>
      <c r="B95" s="106"/>
      <c r="C95" s="89"/>
      <c r="D95" s="89"/>
      <c r="E95" s="89"/>
      <c r="F95" s="89"/>
      <c r="G95" s="89"/>
      <c r="H95" s="89"/>
      <c r="I95" s="89"/>
      <c r="J95" s="89"/>
      <c r="K95" s="89"/>
      <c r="L95" s="89"/>
      <c r="M95" s="89"/>
      <c r="N95" s="107"/>
      <c r="O95" s="493"/>
      <c r="P95" s="494"/>
      <c r="Q95" s="494"/>
      <c r="R95" s="494"/>
      <c r="S95" s="495"/>
      <c r="T95" s="496"/>
      <c r="U95" s="497"/>
    </row>
    <row r="96" spans="1:21" x14ac:dyDescent="0.2">
      <c r="A96" s="102">
        <f t="shared" si="0"/>
        <v>63</v>
      </c>
      <c r="B96" s="106"/>
      <c r="C96" s="89"/>
      <c r="D96" s="89"/>
      <c r="E96" s="89"/>
      <c r="F96" s="89"/>
      <c r="G96" s="89"/>
      <c r="H96" s="89"/>
      <c r="I96" s="89"/>
      <c r="J96" s="89"/>
      <c r="K96" s="89"/>
      <c r="L96" s="89"/>
      <c r="M96" s="89"/>
      <c r="N96" s="107"/>
      <c r="O96" s="493"/>
      <c r="P96" s="494"/>
      <c r="Q96" s="494"/>
      <c r="R96" s="494"/>
      <c r="S96" s="495"/>
      <c r="T96" s="496"/>
      <c r="U96" s="497"/>
    </row>
    <row r="97" spans="1:21" x14ac:dyDescent="0.2">
      <c r="A97" s="102">
        <f t="shared" si="0"/>
        <v>64</v>
      </c>
      <c r="B97" s="106"/>
      <c r="C97" s="89"/>
      <c r="D97" s="89"/>
      <c r="E97" s="89"/>
      <c r="F97" s="89"/>
      <c r="G97" s="89"/>
      <c r="H97" s="89"/>
      <c r="I97" s="89"/>
      <c r="J97" s="89"/>
      <c r="K97" s="89"/>
      <c r="L97" s="89"/>
      <c r="M97" s="89"/>
      <c r="N97" s="107"/>
      <c r="O97" s="493"/>
      <c r="P97" s="494"/>
      <c r="Q97" s="494"/>
      <c r="R97" s="494"/>
      <c r="S97" s="495"/>
      <c r="T97" s="496"/>
      <c r="U97" s="497"/>
    </row>
    <row r="98" spans="1:21" x14ac:dyDescent="0.2">
      <c r="A98" s="102">
        <f t="shared" si="0"/>
        <v>65</v>
      </c>
      <c r="B98" s="106"/>
      <c r="C98" s="89"/>
      <c r="D98" s="89"/>
      <c r="E98" s="89"/>
      <c r="F98" s="89"/>
      <c r="G98" s="89"/>
      <c r="H98" s="89"/>
      <c r="I98" s="89"/>
      <c r="J98" s="89"/>
      <c r="K98" s="89"/>
      <c r="L98" s="89"/>
      <c r="M98" s="89"/>
      <c r="N98" s="107"/>
      <c r="O98" s="493"/>
      <c r="P98" s="494"/>
      <c r="Q98" s="494"/>
      <c r="R98" s="494"/>
      <c r="S98" s="495"/>
      <c r="T98" s="496"/>
      <c r="U98" s="497"/>
    </row>
    <row r="99" spans="1:21" x14ac:dyDescent="0.2">
      <c r="A99" s="102">
        <f t="shared" ref="A99:A133" si="1">A98+1</f>
        <v>66</v>
      </c>
      <c r="B99" s="106"/>
      <c r="C99" s="89"/>
      <c r="D99" s="89"/>
      <c r="E99" s="89"/>
      <c r="F99" s="89"/>
      <c r="G99" s="89"/>
      <c r="H99" s="89"/>
      <c r="I99" s="89"/>
      <c r="J99" s="89"/>
      <c r="K99" s="89"/>
      <c r="L99" s="89"/>
      <c r="M99" s="89"/>
      <c r="N99" s="107"/>
      <c r="O99" s="493"/>
      <c r="P99" s="494"/>
      <c r="Q99" s="494"/>
      <c r="R99" s="494"/>
      <c r="S99" s="495"/>
      <c r="T99" s="496"/>
      <c r="U99" s="497"/>
    </row>
    <row r="100" spans="1:21" x14ac:dyDescent="0.2">
      <c r="A100" s="102">
        <f t="shared" si="1"/>
        <v>67</v>
      </c>
      <c r="B100" s="106"/>
      <c r="C100" s="89"/>
      <c r="D100" s="89"/>
      <c r="E100" s="89"/>
      <c r="F100" s="89"/>
      <c r="G100" s="89"/>
      <c r="H100" s="89"/>
      <c r="I100" s="89"/>
      <c r="J100" s="89"/>
      <c r="K100" s="89"/>
      <c r="L100" s="89"/>
      <c r="M100" s="89"/>
      <c r="N100" s="107"/>
      <c r="O100" s="493"/>
      <c r="P100" s="494"/>
      <c r="Q100" s="494"/>
      <c r="R100" s="494"/>
      <c r="S100" s="495"/>
      <c r="T100" s="496"/>
      <c r="U100" s="497"/>
    </row>
    <row r="101" spans="1:21" x14ac:dyDescent="0.2">
      <c r="A101" s="102">
        <f t="shared" si="1"/>
        <v>68</v>
      </c>
      <c r="B101" s="106"/>
      <c r="C101" s="89"/>
      <c r="D101" s="89"/>
      <c r="E101" s="89"/>
      <c r="F101" s="89"/>
      <c r="G101" s="89"/>
      <c r="H101" s="89"/>
      <c r="I101" s="89"/>
      <c r="J101" s="89"/>
      <c r="K101" s="89"/>
      <c r="L101" s="89"/>
      <c r="M101" s="89"/>
      <c r="N101" s="107"/>
      <c r="O101" s="493"/>
      <c r="P101" s="494"/>
      <c r="Q101" s="494"/>
      <c r="R101" s="494"/>
      <c r="S101" s="495"/>
      <c r="T101" s="496"/>
      <c r="U101" s="497"/>
    </row>
    <row r="102" spans="1:21" x14ac:dyDescent="0.2">
      <c r="A102" s="102">
        <f t="shared" si="1"/>
        <v>69</v>
      </c>
      <c r="B102" s="106"/>
      <c r="C102" s="89"/>
      <c r="D102" s="89"/>
      <c r="E102" s="89"/>
      <c r="F102" s="89"/>
      <c r="G102" s="89"/>
      <c r="H102" s="89"/>
      <c r="I102" s="89"/>
      <c r="J102" s="89"/>
      <c r="K102" s="89"/>
      <c r="L102" s="89"/>
      <c r="M102" s="89"/>
      <c r="N102" s="107"/>
      <c r="O102" s="493"/>
      <c r="P102" s="494"/>
      <c r="Q102" s="494"/>
      <c r="R102" s="494"/>
      <c r="S102" s="495"/>
      <c r="T102" s="496"/>
      <c r="U102" s="497"/>
    </row>
    <row r="103" spans="1:21" x14ac:dyDescent="0.2">
      <c r="A103" s="102">
        <f t="shared" si="1"/>
        <v>70</v>
      </c>
      <c r="B103" s="106"/>
      <c r="C103" s="89"/>
      <c r="D103" s="89"/>
      <c r="E103" s="89"/>
      <c r="F103" s="89"/>
      <c r="G103" s="89"/>
      <c r="H103" s="89"/>
      <c r="I103" s="89"/>
      <c r="J103" s="89"/>
      <c r="K103" s="89"/>
      <c r="L103" s="89"/>
      <c r="M103" s="89"/>
      <c r="N103" s="107"/>
      <c r="O103" s="493"/>
      <c r="P103" s="494"/>
      <c r="Q103" s="494"/>
      <c r="R103" s="494"/>
      <c r="S103" s="495"/>
      <c r="T103" s="496"/>
      <c r="U103" s="497"/>
    </row>
    <row r="104" spans="1:21" x14ac:dyDescent="0.2">
      <c r="A104" s="102">
        <f t="shared" si="1"/>
        <v>71</v>
      </c>
      <c r="B104" s="106"/>
      <c r="C104" s="89"/>
      <c r="D104" s="89"/>
      <c r="E104" s="89"/>
      <c r="F104" s="89"/>
      <c r="G104" s="89"/>
      <c r="H104" s="89"/>
      <c r="I104" s="89"/>
      <c r="J104" s="89"/>
      <c r="K104" s="89"/>
      <c r="L104" s="89"/>
      <c r="M104" s="89"/>
      <c r="N104" s="107"/>
      <c r="O104" s="493"/>
      <c r="P104" s="494"/>
      <c r="Q104" s="494"/>
      <c r="R104" s="494"/>
      <c r="S104" s="495"/>
      <c r="T104" s="496"/>
      <c r="U104" s="497"/>
    </row>
    <row r="105" spans="1:21" x14ac:dyDescent="0.2">
      <c r="A105" s="102">
        <f t="shared" si="1"/>
        <v>72</v>
      </c>
      <c r="B105" s="106"/>
      <c r="C105" s="89"/>
      <c r="D105" s="89"/>
      <c r="E105" s="89"/>
      <c r="F105" s="89"/>
      <c r="G105" s="89"/>
      <c r="H105" s="89"/>
      <c r="I105" s="89"/>
      <c r="J105" s="89"/>
      <c r="K105" s="89"/>
      <c r="L105" s="89"/>
      <c r="M105" s="89"/>
      <c r="N105" s="107"/>
      <c r="O105" s="493"/>
      <c r="P105" s="494"/>
      <c r="Q105" s="494"/>
      <c r="R105" s="494"/>
      <c r="S105" s="495"/>
      <c r="T105" s="496"/>
      <c r="U105" s="497"/>
    </row>
    <row r="106" spans="1:21" x14ac:dyDescent="0.2">
      <c r="A106" s="102">
        <f t="shared" si="1"/>
        <v>73</v>
      </c>
      <c r="B106" s="106"/>
      <c r="C106" s="89"/>
      <c r="D106" s="89"/>
      <c r="E106" s="89"/>
      <c r="F106" s="89"/>
      <c r="G106" s="89"/>
      <c r="H106" s="89"/>
      <c r="I106" s="89"/>
      <c r="J106" s="89"/>
      <c r="K106" s="89"/>
      <c r="L106" s="89"/>
      <c r="M106" s="89"/>
      <c r="N106" s="107"/>
      <c r="O106" s="493"/>
      <c r="P106" s="494"/>
      <c r="Q106" s="494"/>
      <c r="R106" s="494"/>
      <c r="S106" s="495"/>
      <c r="T106" s="496"/>
      <c r="U106" s="497"/>
    </row>
    <row r="107" spans="1:21" x14ac:dyDescent="0.2">
      <c r="A107" s="102">
        <f t="shared" si="1"/>
        <v>74</v>
      </c>
      <c r="B107" s="106"/>
      <c r="C107" s="89"/>
      <c r="D107" s="89"/>
      <c r="E107" s="89"/>
      <c r="F107" s="89"/>
      <c r="G107" s="89"/>
      <c r="H107" s="89"/>
      <c r="I107" s="89"/>
      <c r="J107" s="89"/>
      <c r="K107" s="89"/>
      <c r="L107" s="89"/>
      <c r="M107" s="89"/>
      <c r="N107" s="107"/>
      <c r="O107" s="493"/>
      <c r="P107" s="494"/>
      <c r="Q107" s="494"/>
      <c r="R107" s="494"/>
      <c r="S107" s="495"/>
      <c r="T107" s="496"/>
      <c r="U107" s="497"/>
    </row>
    <row r="108" spans="1:21" x14ac:dyDescent="0.2">
      <c r="A108" s="102">
        <f t="shared" si="1"/>
        <v>75</v>
      </c>
      <c r="B108" s="106"/>
      <c r="C108" s="89"/>
      <c r="D108" s="89"/>
      <c r="E108" s="89"/>
      <c r="F108" s="89"/>
      <c r="G108" s="89"/>
      <c r="H108" s="89"/>
      <c r="I108" s="89"/>
      <c r="J108" s="89"/>
      <c r="K108" s="89"/>
      <c r="L108" s="89"/>
      <c r="M108" s="89"/>
      <c r="N108" s="107"/>
      <c r="O108" s="493"/>
      <c r="P108" s="494"/>
      <c r="Q108" s="494"/>
      <c r="R108" s="494"/>
      <c r="S108" s="495"/>
      <c r="T108" s="496"/>
      <c r="U108" s="497"/>
    </row>
    <row r="109" spans="1:21" x14ac:dyDescent="0.2">
      <c r="A109" s="102">
        <f t="shared" si="1"/>
        <v>76</v>
      </c>
      <c r="B109" s="106"/>
      <c r="C109" s="89"/>
      <c r="D109" s="89"/>
      <c r="E109" s="89"/>
      <c r="F109" s="89"/>
      <c r="G109" s="89"/>
      <c r="H109" s="89"/>
      <c r="I109" s="89"/>
      <c r="J109" s="89"/>
      <c r="K109" s="89"/>
      <c r="L109" s="89"/>
      <c r="M109" s="89"/>
      <c r="N109" s="107"/>
      <c r="O109" s="493"/>
      <c r="P109" s="494"/>
      <c r="Q109" s="494"/>
      <c r="R109" s="494"/>
      <c r="S109" s="495"/>
      <c r="T109" s="496"/>
      <c r="U109" s="497"/>
    </row>
    <row r="110" spans="1:21" x14ac:dyDescent="0.2">
      <c r="A110" s="102">
        <f t="shared" si="1"/>
        <v>77</v>
      </c>
      <c r="B110" s="106"/>
      <c r="C110" s="89"/>
      <c r="D110" s="89"/>
      <c r="E110" s="89"/>
      <c r="F110" s="89"/>
      <c r="G110" s="89"/>
      <c r="H110" s="89"/>
      <c r="I110" s="89"/>
      <c r="J110" s="89"/>
      <c r="K110" s="89"/>
      <c r="L110" s="89"/>
      <c r="M110" s="89"/>
      <c r="N110" s="107"/>
      <c r="O110" s="493"/>
      <c r="P110" s="494"/>
      <c r="Q110" s="494"/>
      <c r="R110" s="494"/>
      <c r="S110" s="495"/>
      <c r="T110" s="496"/>
      <c r="U110" s="497"/>
    </row>
    <row r="111" spans="1:21" x14ac:dyDescent="0.2">
      <c r="A111" s="102">
        <f t="shared" si="1"/>
        <v>78</v>
      </c>
      <c r="B111" s="106"/>
      <c r="C111" s="89"/>
      <c r="D111" s="89"/>
      <c r="E111" s="89"/>
      <c r="F111" s="89"/>
      <c r="G111" s="89"/>
      <c r="H111" s="89"/>
      <c r="I111" s="89"/>
      <c r="J111" s="89"/>
      <c r="K111" s="89"/>
      <c r="L111" s="89"/>
      <c r="M111" s="89"/>
      <c r="N111" s="107"/>
      <c r="O111" s="493"/>
      <c r="P111" s="494"/>
      <c r="Q111" s="494"/>
      <c r="R111" s="494"/>
      <c r="S111" s="495"/>
      <c r="T111" s="496"/>
      <c r="U111" s="497"/>
    </row>
    <row r="112" spans="1:21" x14ac:dyDescent="0.2">
      <c r="A112" s="102">
        <f t="shared" si="1"/>
        <v>79</v>
      </c>
      <c r="B112" s="106"/>
      <c r="C112" s="89"/>
      <c r="D112" s="89"/>
      <c r="E112" s="89"/>
      <c r="F112" s="89"/>
      <c r="G112" s="89"/>
      <c r="H112" s="89"/>
      <c r="I112" s="89"/>
      <c r="J112" s="89"/>
      <c r="K112" s="89"/>
      <c r="L112" s="89"/>
      <c r="M112" s="89"/>
      <c r="N112" s="107"/>
      <c r="O112" s="493"/>
      <c r="P112" s="494"/>
      <c r="Q112" s="494"/>
      <c r="R112" s="494"/>
      <c r="S112" s="495"/>
      <c r="T112" s="496"/>
      <c r="U112" s="497"/>
    </row>
    <row r="113" spans="1:21" x14ac:dyDescent="0.2">
      <c r="A113" s="102">
        <f t="shared" si="1"/>
        <v>80</v>
      </c>
      <c r="B113" s="106"/>
      <c r="C113" s="89"/>
      <c r="D113" s="89"/>
      <c r="E113" s="89"/>
      <c r="F113" s="89"/>
      <c r="G113" s="89"/>
      <c r="H113" s="89"/>
      <c r="I113" s="89"/>
      <c r="J113" s="89"/>
      <c r="K113" s="89"/>
      <c r="L113" s="89"/>
      <c r="M113" s="89"/>
      <c r="N113" s="107"/>
      <c r="O113" s="493"/>
      <c r="P113" s="494"/>
      <c r="Q113" s="494"/>
      <c r="R113" s="494"/>
      <c r="S113" s="495"/>
      <c r="T113" s="496"/>
      <c r="U113" s="497"/>
    </row>
    <row r="114" spans="1:21" x14ac:dyDescent="0.2">
      <c r="A114" s="102">
        <f t="shared" si="1"/>
        <v>81</v>
      </c>
      <c r="B114" s="106"/>
      <c r="C114" s="89"/>
      <c r="D114" s="89"/>
      <c r="E114" s="89"/>
      <c r="F114" s="89"/>
      <c r="G114" s="89"/>
      <c r="H114" s="89"/>
      <c r="I114" s="89"/>
      <c r="J114" s="89"/>
      <c r="K114" s="89"/>
      <c r="L114" s="89"/>
      <c r="M114" s="89"/>
      <c r="N114" s="107"/>
      <c r="O114" s="493"/>
      <c r="P114" s="494"/>
      <c r="Q114" s="494"/>
      <c r="R114" s="494"/>
      <c r="S114" s="495"/>
      <c r="T114" s="496"/>
      <c r="U114" s="497"/>
    </row>
    <row r="115" spans="1:21" x14ac:dyDescent="0.2">
      <c r="A115" s="102">
        <f t="shared" si="1"/>
        <v>82</v>
      </c>
      <c r="B115" s="106"/>
      <c r="C115" s="89"/>
      <c r="D115" s="89"/>
      <c r="E115" s="89"/>
      <c r="F115" s="89"/>
      <c r="G115" s="89"/>
      <c r="H115" s="89"/>
      <c r="I115" s="89"/>
      <c r="J115" s="89"/>
      <c r="K115" s="89"/>
      <c r="L115" s="89"/>
      <c r="M115" s="89"/>
      <c r="N115" s="107"/>
      <c r="O115" s="493"/>
      <c r="P115" s="494"/>
      <c r="Q115" s="494"/>
      <c r="R115" s="494"/>
      <c r="S115" s="495"/>
      <c r="T115" s="496"/>
      <c r="U115" s="497"/>
    </row>
    <row r="116" spans="1:21" x14ac:dyDescent="0.2">
      <c r="A116" s="102">
        <f t="shared" si="1"/>
        <v>83</v>
      </c>
      <c r="B116" s="106"/>
      <c r="C116" s="89"/>
      <c r="D116" s="89"/>
      <c r="E116" s="89"/>
      <c r="F116" s="89"/>
      <c r="G116" s="89"/>
      <c r="H116" s="89"/>
      <c r="I116" s="89"/>
      <c r="J116" s="89"/>
      <c r="K116" s="89"/>
      <c r="L116" s="89"/>
      <c r="M116" s="89"/>
      <c r="N116" s="107"/>
      <c r="O116" s="493"/>
      <c r="P116" s="494"/>
      <c r="Q116" s="494"/>
      <c r="R116" s="494"/>
      <c r="S116" s="495"/>
      <c r="T116" s="496"/>
      <c r="U116" s="497"/>
    </row>
    <row r="117" spans="1:21" x14ac:dyDescent="0.2">
      <c r="A117" s="102">
        <f t="shared" si="1"/>
        <v>84</v>
      </c>
      <c r="B117" s="106"/>
      <c r="C117" s="89"/>
      <c r="D117" s="89"/>
      <c r="E117" s="89"/>
      <c r="F117" s="89"/>
      <c r="G117" s="89"/>
      <c r="H117" s="89"/>
      <c r="I117" s="89"/>
      <c r="J117" s="89"/>
      <c r="K117" s="89"/>
      <c r="L117" s="89"/>
      <c r="M117" s="89"/>
      <c r="N117" s="107"/>
      <c r="O117" s="493"/>
      <c r="P117" s="494"/>
      <c r="Q117" s="494"/>
      <c r="R117" s="494"/>
      <c r="S117" s="495"/>
      <c r="T117" s="496"/>
      <c r="U117" s="497"/>
    </row>
    <row r="118" spans="1:21" x14ac:dyDescent="0.2">
      <c r="A118" s="102">
        <f t="shared" si="1"/>
        <v>85</v>
      </c>
      <c r="B118" s="106"/>
      <c r="C118" s="89"/>
      <c r="D118" s="89"/>
      <c r="E118" s="89"/>
      <c r="F118" s="89"/>
      <c r="G118" s="89"/>
      <c r="H118" s="89"/>
      <c r="I118" s="89"/>
      <c r="J118" s="89"/>
      <c r="K118" s="89"/>
      <c r="L118" s="89"/>
      <c r="M118" s="89"/>
      <c r="N118" s="107"/>
      <c r="O118" s="493"/>
      <c r="P118" s="494"/>
      <c r="Q118" s="494"/>
      <c r="R118" s="494"/>
      <c r="S118" s="495"/>
      <c r="T118" s="496"/>
      <c r="U118" s="497"/>
    </row>
    <row r="119" spans="1:21" x14ac:dyDescent="0.2">
      <c r="A119" s="102">
        <f t="shared" si="1"/>
        <v>86</v>
      </c>
      <c r="B119" s="106"/>
      <c r="C119" s="89"/>
      <c r="D119" s="89"/>
      <c r="E119" s="89"/>
      <c r="F119" s="89"/>
      <c r="G119" s="89"/>
      <c r="H119" s="89"/>
      <c r="I119" s="89"/>
      <c r="J119" s="89"/>
      <c r="K119" s="89"/>
      <c r="L119" s="89"/>
      <c r="M119" s="89"/>
      <c r="N119" s="107"/>
      <c r="O119" s="493"/>
      <c r="P119" s="494"/>
      <c r="Q119" s="494"/>
      <c r="R119" s="494"/>
      <c r="S119" s="495"/>
      <c r="T119" s="496"/>
      <c r="U119" s="497"/>
    </row>
    <row r="120" spans="1:21" x14ac:dyDescent="0.2">
      <c r="A120" s="102">
        <f t="shared" si="1"/>
        <v>87</v>
      </c>
      <c r="B120" s="106"/>
      <c r="C120" s="89"/>
      <c r="D120" s="89"/>
      <c r="E120" s="89"/>
      <c r="F120" s="89"/>
      <c r="G120" s="89"/>
      <c r="H120" s="89"/>
      <c r="I120" s="89"/>
      <c r="J120" s="89"/>
      <c r="K120" s="89"/>
      <c r="L120" s="89"/>
      <c r="M120" s="89"/>
      <c r="N120" s="107"/>
      <c r="O120" s="493"/>
      <c r="P120" s="494"/>
      <c r="Q120" s="494"/>
      <c r="R120" s="494"/>
      <c r="S120" s="495"/>
      <c r="T120" s="496"/>
      <c r="U120" s="497"/>
    </row>
    <row r="121" spans="1:21" x14ac:dyDescent="0.2">
      <c r="A121" s="102">
        <f t="shared" si="1"/>
        <v>88</v>
      </c>
      <c r="B121" s="106"/>
      <c r="C121" s="89"/>
      <c r="D121" s="89"/>
      <c r="E121" s="89"/>
      <c r="F121" s="89"/>
      <c r="G121" s="89"/>
      <c r="H121" s="89"/>
      <c r="I121" s="89"/>
      <c r="J121" s="89"/>
      <c r="K121" s="89"/>
      <c r="L121" s="89"/>
      <c r="M121" s="89"/>
      <c r="N121" s="107"/>
      <c r="O121" s="493"/>
      <c r="P121" s="494"/>
      <c r="Q121" s="494"/>
      <c r="R121" s="494"/>
      <c r="S121" s="495"/>
      <c r="T121" s="496"/>
      <c r="U121" s="497"/>
    </row>
    <row r="122" spans="1:21" x14ac:dyDescent="0.2">
      <c r="A122" s="102">
        <f t="shared" si="1"/>
        <v>89</v>
      </c>
      <c r="B122" s="106"/>
      <c r="C122" s="89"/>
      <c r="D122" s="89"/>
      <c r="E122" s="89"/>
      <c r="F122" s="89"/>
      <c r="G122" s="89"/>
      <c r="H122" s="89"/>
      <c r="I122" s="89"/>
      <c r="J122" s="89"/>
      <c r="K122" s="89"/>
      <c r="L122" s="89"/>
      <c r="M122" s="89"/>
      <c r="N122" s="107"/>
      <c r="O122" s="493"/>
      <c r="P122" s="494"/>
      <c r="Q122" s="494"/>
      <c r="R122" s="494"/>
      <c r="S122" s="495"/>
      <c r="T122" s="496"/>
      <c r="U122" s="497"/>
    </row>
    <row r="123" spans="1:21" x14ac:dyDescent="0.2">
      <c r="A123" s="102">
        <f t="shared" si="1"/>
        <v>90</v>
      </c>
      <c r="B123" s="106"/>
      <c r="C123" s="89"/>
      <c r="D123" s="89"/>
      <c r="E123" s="89"/>
      <c r="F123" s="89"/>
      <c r="G123" s="89"/>
      <c r="H123" s="89"/>
      <c r="I123" s="89"/>
      <c r="J123" s="89"/>
      <c r="K123" s="89"/>
      <c r="L123" s="89"/>
      <c r="M123" s="89"/>
      <c r="N123" s="107"/>
      <c r="O123" s="493"/>
      <c r="P123" s="494"/>
      <c r="Q123" s="494"/>
      <c r="R123" s="494"/>
      <c r="S123" s="495"/>
      <c r="T123" s="496"/>
      <c r="U123" s="497"/>
    </row>
    <row r="124" spans="1:21" x14ac:dyDescent="0.2">
      <c r="A124" s="102">
        <f t="shared" si="1"/>
        <v>91</v>
      </c>
      <c r="B124" s="106"/>
      <c r="C124" s="89"/>
      <c r="D124" s="89"/>
      <c r="E124" s="89"/>
      <c r="F124" s="89"/>
      <c r="G124" s="89"/>
      <c r="H124" s="89"/>
      <c r="I124" s="89"/>
      <c r="J124" s="89"/>
      <c r="K124" s="89"/>
      <c r="L124" s="89"/>
      <c r="M124" s="89"/>
      <c r="N124" s="107"/>
      <c r="O124" s="493"/>
      <c r="P124" s="494"/>
      <c r="Q124" s="494"/>
      <c r="R124" s="494"/>
      <c r="S124" s="495"/>
      <c r="T124" s="496"/>
      <c r="U124" s="497"/>
    </row>
    <row r="125" spans="1:21" x14ac:dyDescent="0.2">
      <c r="A125" s="102">
        <f t="shared" si="1"/>
        <v>92</v>
      </c>
      <c r="B125" s="106"/>
      <c r="C125" s="89"/>
      <c r="D125" s="89"/>
      <c r="E125" s="89"/>
      <c r="F125" s="89"/>
      <c r="G125" s="89"/>
      <c r="H125" s="89"/>
      <c r="I125" s="89"/>
      <c r="J125" s="89"/>
      <c r="K125" s="89"/>
      <c r="L125" s="89"/>
      <c r="M125" s="89"/>
      <c r="N125" s="107"/>
      <c r="O125" s="493"/>
      <c r="P125" s="494"/>
      <c r="Q125" s="494"/>
      <c r="R125" s="494"/>
      <c r="S125" s="495"/>
      <c r="T125" s="496"/>
      <c r="U125" s="497"/>
    </row>
    <row r="126" spans="1:21" x14ac:dyDescent="0.2">
      <c r="A126" s="102">
        <f t="shared" si="1"/>
        <v>93</v>
      </c>
      <c r="B126" s="106"/>
      <c r="C126" s="89"/>
      <c r="D126" s="89"/>
      <c r="E126" s="89"/>
      <c r="F126" s="89"/>
      <c r="G126" s="89"/>
      <c r="H126" s="89"/>
      <c r="I126" s="89"/>
      <c r="J126" s="89"/>
      <c r="K126" s="89"/>
      <c r="L126" s="89"/>
      <c r="M126" s="89"/>
      <c r="N126" s="107"/>
      <c r="O126" s="493"/>
      <c r="P126" s="494"/>
      <c r="Q126" s="494"/>
      <c r="R126" s="494"/>
      <c r="S126" s="495"/>
      <c r="T126" s="496"/>
      <c r="U126" s="497"/>
    </row>
    <row r="127" spans="1:21" x14ac:dyDescent="0.2">
      <c r="A127" s="102">
        <f t="shared" si="1"/>
        <v>94</v>
      </c>
      <c r="B127" s="106"/>
      <c r="C127" s="89"/>
      <c r="D127" s="89"/>
      <c r="E127" s="89"/>
      <c r="F127" s="89"/>
      <c r="G127" s="89"/>
      <c r="H127" s="89"/>
      <c r="I127" s="89"/>
      <c r="J127" s="89"/>
      <c r="K127" s="89"/>
      <c r="L127" s="89"/>
      <c r="M127" s="89"/>
      <c r="N127" s="107"/>
      <c r="O127" s="493"/>
      <c r="P127" s="494"/>
      <c r="Q127" s="494"/>
      <c r="R127" s="494"/>
      <c r="S127" s="495"/>
      <c r="T127" s="496"/>
      <c r="U127" s="497"/>
    </row>
    <row r="128" spans="1:21" x14ac:dyDescent="0.2">
      <c r="A128" s="102">
        <f t="shared" si="1"/>
        <v>95</v>
      </c>
      <c r="B128" s="106"/>
      <c r="C128" s="89"/>
      <c r="D128" s="89"/>
      <c r="E128" s="89"/>
      <c r="F128" s="89"/>
      <c r="G128" s="89"/>
      <c r="H128" s="89"/>
      <c r="I128" s="89"/>
      <c r="J128" s="89"/>
      <c r="K128" s="89"/>
      <c r="L128" s="89"/>
      <c r="M128" s="89"/>
      <c r="N128" s="107"/>
      <c r="O128" s="493"/>
      <c r="P128" s="494"/>
      <c r="Q128" s="494"/>
      <c r="R128" s="494"/>
      <c r="S128" s="495"/>
      <c r="T128" s="496"/>
      <c r="U128" s="497"/>
    </row>
    <row r="129" spans="1:21" x14ac:dyDescent="0.2">
      <c r="A129" s="102">
        <f t="shared" si="1"/>
        <v>96</v>
      </c>
      <c r="B129" s="106"/>
      <c r="C129" s="89"/>
      <c r="D129" s="89"/>
      <c r="E129" s="89"/>
      <c r="F129" s="89"/>
      <c r="G129" s="89"/>
      <c r="H129" s="89"/>
      <c r="I129" s="89"/>
      <c r="J129" s="89"/>
      <c r="K129" s="89"/>
      <c r="L129" s="89"/>
      <c r="M129" s="89"/>
      <c r="N129" s="107"/>
      <c r="O129" s="493"/>
      <c r="P129" s="494"/>
      <c r="Q129" s="494"/>
      <c r="R129" s="494"/>
      <c r="S129" s="495"/>
      <c r="T129" s="496"/>
      <c r="U129" s="497"/>
    </row>
    <row r="130" spans="1:21" x14ac:dyDescent="0.2">
      <c r="A130" s="102">
        <f t="shared" si="1"/>
        <v>97</v>
      </c>
      <c r="B130" s="106"/>
      <c r="C130" s="89"/>
      <c r="D130" s="89"/>
      <c r="E130" s="89"/>
      <c r="F130" s="89"/>
      <c r="G130" s="89"/>
      <c r="H130" s="89"/>
      <c r="I130" s="89"/>
      <c r="J130" s="89"/>
      <c r="K130" s="89"/>
      <c r="L130" s="89"/>
      <c r="M130" s="89"/>
      <c r="N130" s="107"/>
      <c r="O130" s="493"/>
      <c r="P130" s="494"/>
      <c r="Q130" s="494"/>
      <c r="R130" s="494"/>
      <c r="S130" s="495"/>
      <c r="T130" s="496"/>
      <c r="U130" s="497"/>
    </row>
    <row r="131" spans="1:21" x14ac:dyDescent="0.2">
      <c r="A131" s="102">
        <f t="shared" si="1"/>
        <v>98</v>
      </c>
      <c r="B131" s="106"/>
      <c r="C131" s="89"/>
      <c r="D131" s="89"/>
      <c r="E131" s="89"/>
      <c r="F131" s="89"/>
      <c r="G131" s="89"/>
      <c r="H131" s="89"/>
      <c r="I131" s="89"/>
      <c r="J131" s="89"/>
      <c r="K131" s="89"/>
      <c r="L131" s="89"/>
      <c r="M131" s="89"/>
      <c r="N131" s="107"/>
      <c r="O131" s="493"/>
      <c r="P131" s="494"/>
      <c r="Q131" s="494"/>
      <c r="R131" s="494"/>
      <c r="S131" s="495"/>
      <c r="T131" s="496"/>
      <c r="U131" s="497"/>
    </row>
    <row r="132" spans="1:21" x14ac:dyDescent="0.2">
      <c r="A132" s="102">
        <f t="shared" si="1"/>
        <v>99</v>
      </c>
      <c r="B132" s="106"/>
      <c r="C132" s="89"/>
      <c r="D132" s="89"/>
      <c r="E132" s="89"/>
      <c r="F132" s="89"/>
      <c r="G132" s="89"/>
      <c r="H132" s="89"/>
      <c r="I132" s="89"/>
      <c r="J132" s="89"/>
      <c r="K132" s="89"/>
      <c r="L132" s="89"/>
      <c r="M132" s="89"/>
      <c r="N132" s="107"/>
      <c r="O132" s="493"/>
      <c r="P132" s="494"/>
      <c r="Q132" s="494"/>
      <c r="R132" s="494"/>
      <c r="S132" s="495"/>
      <c r="T132" s="496"/>
      <c r="U132" s="497"/>
    </row>
    <row r="133" spans="1:21" x14ac:dyDescent="0.2">
      <c r="A133" s="102">
        <f t="shared" si="1"/>
        <v>100</v>
      </c>
      <c r="B133" s="106"/>
      <c r="C133" s="89"/>
      <c r="D133" s="89"/>
      <c r="E133" s="89"/>
      <c r="F133" s="89"/>
      <c r="G133" s="89"/>
      <c r="H133" s="89"/>
      <c r="I133" s="89"/>
      <c r="J133" s="89"/>
      <c r="K133" s="89"/>
      <c r="L133" s="89"/>
      <c r="M133" s="89"/>
      <c r="N133" s="107"/>
      <c r="O133" s="493"/>
      <c r="P133" s="494"/>
      <c r="Q133" s="494"/>
      <c r="R133" s="494"/>
      <c r="S133" s="495"/>
      <c r="T133" s="496"/>
      <c r="U133" s="497"/>
    </row>
    <row r="134" spans="1:21" x14ac:dyDescent="0.2">
      <c r="B134" s="108"/>
    </row>
    <row r="135" spans="1:21" x14ac:dyDescent="0.2">
      <c r="B135" s="108"/>
    </row>
    <row r="136" spans="1:21" x14ac:dyDescent="0.2">
      <c r="B136" s="108"/>
    </row>
    <row r="137" spans="1:21" x14ac:dyDescent="0.2">
      <c r="B137" s="108"/>
    </row>
    <row r="138" spans="1:21" x14ac:dyDescent="0.2">
      <c r="B138" s="108"/>
    </row>
    <row r="139" spans="1:21" x14ac:dyDescent="0.2">
      <c r="B139" s="108"/>
    </row>
    <row r="140" spans="1:21" x14ac:dyDescent="0.2">
      <c r="B140" s="108"/>
    </row>
    <row r="141" spans="1:21" x14ac:dyDescent="0.2">
      <c r="B141" s="108"/>
    </row>
    <row r="142" spans="1:21" x14ac:dyDescent="0.2">
      <c r="B142" s="108"/>
    </row>
    <row r="143" spans="1:21" x14ac:dyDescent="0.2">
      <c r="B143" s="108"/>
    </row>
    <row r="144" spans="1:21" x14ac:dyDescent="0.2">
      <c r="B144" s="108"/>
    </row>
    <row r="145" spans="2:2" x14ac:dyDescent="0.2">
      <c r="B145" s="108"/>
    </row>
    <row r="146" spans="2:2" x14ac:dyDescent="0.2">
      <c r="B146" s="108"/>
    </row>
    <row r="147" spans="2:2" x14ac:dyDescent="0.2">
      <c r="B147" s="108"/>
    </row>
    <row r="148" spans="2:2" x14ac:dyDescent="0.2">
      <c r="B148" s="108"/>
    </row>
    <row r="149" spans="2:2" x14ac:dyDescent="0.2">
      <c r="B149" s="108"/>
    </row>
    <row r="150" spans="2:2" x14ac:dyDescent="0.2">
      <c r="B150" s="108"/>
    </row>
    <row r="151" spans="2:2" x14ac:dyDescent="0.2">
      <c r="B151" s="108"/>
    </row>
    <row r="152" spans="2:2" x14ac:dyDescent="0.2">
      <c r="B152" s="108"/>
    </row>
    <row r="153" spans="2:2" x14ac:dyDescent="0.2">
      <c r="B153" s="108"/>
    </row>
    <row r="154" spans="2:2" x14ac:dyDescent="0.2">
      <c r="B154" s="108"/>
    </row>
    <row r="155" spans="2:2" x14ac:dyDescent="0.2">
      <c r="B155" s="108"/>
    </row>
    <row r="156" spans="2:2" x14ac:dyDescent="0.2">
      <c r="B156" s="108"/>
    </row>
    <row r="157" spans="2:2" x14ac:dyDescent="0.2">
      <c r="B157" s="108"/>
    </row>
    <row r="158" spans="2:2" x14ac:dyDescent="0.2">
      <c r="B158" s="108"/>
    </row>
    <row r="159" spans="2:2" x14ac:dyDescent="0.2">
      <c r="B159" s="108"/>
    </row>
    <row r="160" spans="2:2" x14ac:dyDescent="0.2">
      <c r="B160" s="108"/>
    </row>
    <row r="161" spans="2:2" x14ac:dyDescent="0.2">
      <c r="B161" s="108"/>
    </row>
    <row r="162" spans="2:2" x14ac:dyDescent="0.2">
      <c r="B162" s="108"/>
    </row>
    <row r="163" spans="2:2" x14ac:dyDescent="0.2">
      <c r="B163" s="108"/>
    </row>
    <row r="164" spans="2:2" x14ac:dyDescent="0.2">
      <c r="B164" s="108"/>
    </row>
    <row r="165" spans="2:2" x14ac:dyDescent="0.2">
      <c r="B165" s="108"/>
    </row>
    <row r="166" spans="2:2" x14ac:dyDescent="0.2">
      <c r="B166" s="108"/>
    </row>
    <row r="167" spans="2:2" x14ac:dyDescent="0.2">
      <c r="B167" s="108"/>
    </row>
    <row r="168" spans="2:2" x14ac:dyDescent="0.2">
      <c r="B168" s="108"/>
    </row>
    <row r="169" spans="2:2" x14ac:dyDescent="0.2">
      <c r="B169" s="108"/>
    </row>
    <row r="170" spans="2:2" x14ac:dyDescent="0.2">
      <c r="B170" s="108"/>
    </row>
    <row r="171" spans="2:2" x14ac:dyDescent="0.2">
      <c r="B171" s="108"/>
    </row>
    <row r="172" spans="2:2" x14ac:dyDescent="0.2">
      <c r="B172" s="108"/>
    </row>
    <row r="173" spans="2:2" x14ac:dyDescent="0.2">
      <c r="B173" s="108"/>
    </row>
    <row r="174" spans="2:2" x14ac:dyDescent="0.2">
      <c r="B174" s="108"/>
    </row>
    <row r="175" spans="2:2" x14ac:dyDescent="0.2">
      <c r="B175" s="108"/>
    </row>
    <row r="176" spans="2:2" x14ac:dyDescent="0.2">
      <c r="B176" s="108"/>
    </row>
    <row r="177" spans="2:2" x14ac:dyDescent="0.2">
      <c r="B177" s="108"/>
    </row>
    <row r="178" spans="2:2" x14ac:dyDescent="0.2">
      <c r="B178" s="108"/>
    </row>
    <row r="179" spans="2:2" x14ac:dyDescent="0.2">
      <c r="B179" s="108"/>
    </row>
    <row r="180" spans="2:2" x14ac:dyDescent="0.2">
      <c r="B180" s="108"/>
    </row>
    <row r="181" spans="2:2" x14ac:dyDescent="0.2">
      <c r="B181" s="108"/>
    </row>
    <row r="182" spans="2:2" x14ac:dyDescent="0.2">
      <c r="B182" s="108"/>
    </row>
    <row r="183" spans="2:2" x14ac:dyDescent="0.2">
      <c r="B183" s="108"/>
    </row>
    <row r="184" spans="2:2" x14ac:dyDescent="0.2">
      <c r="B184" s="108"/>
    </row>
    <row r="185" spans="2:2" x14ac:dyDescent="0.2">
      <c r="B185" s="108"/>
    </row>
    <row r="186" spans="2:2" x14ac:dyDescent="0.2">
      <c r="B186" s="108"/>
    </row>
    <row r="187" spans="2:2" x14ac:dyDescent="0.2">
      <c r="B187" s="108"/>
    </row>
    <row r="188" spans="2:2" x14ac:dyDescent="0.2">
      <c r="B188" s="108"/>
    </row>
    <row r="189" spans="2:2" x14ac:dyDescent="0.2">
      <c r="B189" s="108"/>
    </row>
    <row r="190" spans="2:2" x14ac:dyDescent="0.2">
      <c r="B190" s="108"/>
    </row>
    <row r="191" spans="2:2" x14ac:dyDescent="0.2">
      <c r="B191" s="108"/>
    </row>
    <row r="192" spans="2:2" x14ac:dyDescent="0.2">
      <c r="B192" s="108"/>
    </row>
    <row r="193" spans="2:2" x14ac:dyDescent="0.2">
      <c r="B193" s="108"/>
    </row>
    <row r="194" spans="2:2" x14ac:dyDescent="0.2">
      <c r="B194" s="108"/>
    </row>
    <row r="195" spans="2:2" x14ac:dyDescent="0.2">
      <c r="B195" s="108"/>
    </row>
    <row r="196" spans="2:2" x14ac:dyDescent="0.2">
      <c r="B196" s="108"/>
    </row>
    <row r="197" spans="2:2" x14ac:dyDescent="0.2">
      <c r="B197" s="108"/>
    </row>
    <row r="198" spans="2:2" x14ac:dyDescent="0.2">
      <c r="B198" s="108"/>
    </row>
    <row r="199" spans="2:2" x14ac:dyDescent="0.2">
      <c r="B199" s="108"/>
    </row>
    <row r="200" spans="2:2" x14ac:dyDescent="0.2">
      <c r="B200" s="108"/>
    </row>
    <row r="201" spans="2:2" x14ac:dyDescent="0.2">
      <c r="B201" s="108"/>
    </row>
    <row r="202" spans="2:2" x14ac:dyDescent="0.2">
      <c r="B202" s="108"/>
    </row>
    <row r="203" spans="2:2" x14ac:dyDescent="0.2">
      <c r="B203" s="108"/>
    </row>
    <row r="204" spans="2:2" x14ac:dyDescent="0.2">
      <c r="B204" s="108"/>
    </row>
    <row r="205" spans="2:2" x14ac:dyDescent="0.2">
      <c r="B205" s="108"/>
    </row>
    <row r="206" spans="2:2" x14ac:dyDescent="0.2">
      <c r="B206" s="108"/>
    </row>
    <row r="207" spans="2:2" x14ac:dyDescent="0.2">
      <c r="B207" s="108"/>
    </row>
    <row r="208" spans="2:2" x14ac:dyDescent="0.2">
      <c r="B208" s="108"/>
    </row>
    <row r="209" spans="2:2" x14ac:dyDescent="0.2">
      <c r="B209" s="108"/>
    </row>
    <row r="210" spans="2:2" x14ac:dyDescent="0.2">
      <c r="B210" s="108"/>
    </row>
    <row r="211" spans="2:2" x14ac:dyDescent="0.2">
      <c r="B211" s="108"/>
    </row>
    <row r="212" spans="2:2" x14ac:dyDescent="0.2">
      <c r="B212" s="108"/>
    </row>
    <row r="213" spans="2:2" x14ac:dyDescent="0.2">
      <c r="B213" s="108"/>
    </row>
    <row r="214" spans="2:2" x14ac:dyDescent="0.2">
      <c r="B214" s="108"/>
    </row>
    <row r="215" spans="2:2" x14ac:dyDescent="0.2">
      <c r="B215" s="108"/>
    </row>
    <row r="216" spans="2:2" x14ac:dyDescent="0.2">
      <c r="B216" s="108"/>
    </row>
    <row r="217" spans="2:2" x14ac:dyDescent="0.2">
      <c r="B217" s="108"/>
    </row>
    <row r="218" spans="2:2" x14ac:dyDescent="0.2">
      <c r="B218" s="108"/>
    </row>
    <row r="219" spans="2:2" x14ac:dyDescent="0.2">
      <c r="B219" s="108"/>
    </row>
    <row r="220" spans="2:2" x14ac:dyDescent="0.2">
      <c r="B220" s="108"/>
    </row>
    <row r="221" spans="2:2" x14ac:dyDescent="0.2">
      <c r="B221" s="108"/>
    </row>
    <row r="222" spans="2:2" x14ac:dyDescent="0.2">
      <c r="B222" s="108"/>
    </row>
    <row r="223" spans="2:2" x14ac:dyDescent="0.2">
      <c r="B223" s="108"/>
    </row>
    <row r="224" spans="2:2" x14ac:dyDescent="0.2">
      <c r="B224" s="108"/>
    </row>
    <row r="225" spans="2:2" x14ac:dyDescent="0.2">
      <c r="B225" s="108"/>
    </row>
    <row r="226" spans="2:2" x14ac:dyDescent="0.2">
      <c r="B226" s="108"/>
    </row>
    <row r="227" spans="2:2" x14ac:dyDescent="0.2">
      <c r="B227" s="108"/>
    </row>
    <row r="228" spans="2:2" x14ac:dyDescent="0.2">
      <c r="B228" s="108"/>
    </row>
    <row r="229" spans="2:2" x14ac:dyDescent="0.2">
      <c r="B229" s="108"/>
    </row>
    <row r="230" spans="2:2" x14ac:dyDescent="0.2">
      <c r="B230" s="108"/>
    </row>
    <row r="231" spans="2:2" x14ac:dyDescent="0.2">
      <c r="B231" s="108"/>
    </row>
    <row r="232" spans="2:2" x14ac:dyDescent="0.2">
      <c r="B232" s="108"/>
    </row>
    <row r="233" spans="2:2" x14ac:dyDescent="0.2">
      <c r="B233" s="108"/>
    </row>
    <row r="234" spans="2:2" x14ac:dyDescent="0.2">
      <c r="B234" s="108"/>
    </row>
    <row r="235" spans="2:2" x14ac:dyDescent="0.2">
      <c r="B235" s="108"/>
    </row>
    <row r="236" spans="2:2" x14ac:dyDescent="0.2">
      <c r="B236" s="108"/>
    </row>
    <row r="237" spans="2:2" x14ac:dyDescent="0.2">
      <c r="B237" s="108"/>
    </row>
    <row r="238" spans="2:2" x14ac:dyDescent="0.2">
      <c r="B238" s="108"/>
    </row>
    <row r="239" spans="2:2" x14ac:dyDescent="0.2">
      <c r="B239" s="108"/>
    </row>
    <row r="240" spans="2:2" x14ac:dyDescent="0.2">
      <c r="B240" s="108"/>
    </row>
    <row r="241" spans="2:2" x14ac:dyDescent="0.2">
      <c r="B241" s="108"/>
    </row>
    <row r="242" spans="2:2" x14ac:dyDescent="0.2">
      <c r="B242" s="108"/>
    </row>
    <row r="243" spans="2:2" x14ac:dyDescent="0.2">
      <c r="B243" s="108"/>
    </row>
    <row r="244" spans="2:2" x14ac:dyDescent="0.2">
      <c r="B244" s="108"/>
    </row>
    <row r="245" spans="2:2" x14ac:dyDescent="0.2">
      <c r="B245" s="108"/>
    </row>
    <row r="246" spans="2:2" x14ac:dyDescent="0.2">
      <c r="B246" s="108"/>
    </row>
    <row r="247" spans="2:2" x14ac:dyDescent="0.2">
      <c r="B247" s="108"/>
    </row>
    <row r="248" spans="2:2" x14ac:dyDescent="0.2">
      <c r="B248" s="108"/>
    </row>
    <row r="249" spans="2:2" x14ac:dyDescent="0.2">
      <c r="B249" s="108"/>
    </row>
    <row r="250" spans="2:2" x14ac:dyDescent="0.2">
      <c r="B250" s="108"/>
    </row>
    <row r="251" spans="2:2" x14ac:dyDescent="0.2">
      <c r="B251" s="108"/>
    </row>
    <row r="252" spans="2:2" x14ac:dyDescent="0.2">
      <c r="B252" s="108"/>
    </row>
    <row r="253" spans="2:2" x14ac:dyDescent="0.2">
      <c r="B253" s="108"/>
    </row>
    <row r="254" spans="2:2" x14ac:dyDescent="0.2">
      <c r="B254" s="108"/>
    </row>
    <row r="255" spans="2:2" x14ac:dyDescent="0.2">
      <c r="B255" s="108"/>
    </row>
    <row r="256" spans="2:2" x14ac:dyDescent="0.2">
      <c r="B256" s="108"/>
    </row>
    <row r="257" spans="2:2" x14ac:dyDescent="0.2">
      <c r="B257" s="108"/>
    </row>
    <row r="258" spans="2:2" x14ac:dyDescent="0.2">
      <c r="B258" s="108"/>
    </row>
    <row r="259" spans="2:2" x14ac:dyDescent="0.2">
      <c r="B259" s="108"/>
    </row>
    <row r="260" spans="2:2" x14ac:dyDescent="0.2">
      <c r="B260" s="108"/>
    </row>
    <row r="261" spans="2:2" x14ac:dyDescent="0.2">
      <c r="B261" s="108"/>
    </row>
    <row r="262" spans="2:2" x14ac:dyDescent="0.2">
      <c r="B262" s="108"/>
    </row>
    <row r="263" spans="2:2" x14ac:dyDescent="0.2">
      <c r="B263" s="108"/>
    </row>
    <row r="264" spans="2:2" x14ac:dyDescent="0.2">
      <c r="B264" s="108"/>
    </row>
    <row r="265" spans="2:2" x14ac:dyDescent="0.2">
      <c r="B265" s="108"/>
    </row>
    <row r="266" spans="2:2" x14ac:dyDescent="0.2">
      <c r="B266" s="108"/>
    </row>
    <row r="267" spans="2:2" x14ac:dyDescent="0.2">
      <c r="B267" s="108"/>
    </row>
    <row r="268" spans="2:2" x14ac:dyDescent="0.2">
      <c r="B268" s="108"/>
    </row>
    <row r="269" spans="2:2" x14ac:dyDescent="0.2">
      <c r="B269" s="108"/>
    </row>
    <row r="270" spans="2:2" x14ac:dyDescent="0.2">
      <c r="B270" s="108"/>
    </row>
    <row r="271" spans="2:2" x14ac:dyDescent="0.2">
      <c r="B271" s="108"/>
    </row>
    <row r="272" spans="2:2" x14ac:dyDescent="0.2">
      <c r="B272" s="108"/>
    </row>
    <row r="273" spans="2:2" x14ac:dyDescent="0.2">
      <c r="B273" s="108"/>
    </row>
    <row r="274" spans="2:2" x14ac:dyDescent="0.2">
      <c r="B274" s="108"/>
    </row>
    <row r="275" spans="2:2" x14ac:dyDescent="0.2">
      <c r="B275" s="108"/>
    </row>
    <row r="276" spans="2:2" x14ac:dyDescent="0.2">
      <c r="B276" s="108"/>
    </row>
    <row r="277" spans="2:2" x14ac:dyDescent="0.2">
      <c r="B277" s="108"/>
    </row>
    <row r="278" spans="2:2" x14ac:dyDescent="0.2">
      <c r="B278" s="108"/>
    </row>
    <row r="279" spans="2:2" x14ac:dyDescent="0.2">
      <c r="B279" s="108"/>
    </row>
    <row r="280" spans="2:2" x14ac:dyDescent="0.2">
      <c r="B280" s="108"/>
    </row>
    <row r="281" spans="2:2" x14ac:dyDescent="0.2">
      <c r="B281" s="108"/>
    </row>
    <row r="282" spans="2:2" x14ac:dyDescent="0.2">
      <c r="B282" s="108"/>
    </row>
    <row r="283" spans="2:2" x14ac:dyDescent="0.2">
      <c r="B283" s="108"/>
    </row>
    <row r="284" spans="2:2" x14ac:dyDescent="0.2">
      <c r="B284" s="108"/>
    </row>
    <row r="285" spans="2:2" x14ac:dyDescent="0.2">
      <c r="B285" s="108"/>
    </row>
    <row r="286" spans="2:2" x14ac:dyDescent="0.2">
      <c r="B286" s="108"/>
    </row>
    <row r="287" spans="2:2" x14ac:dyDescent="0.2">
      <c r="B287" s="108"/>
    </row>
    <row r="288" spans="2:2" x14ac:dyDescent="0.2">
      <c r="B288" s="108"/>
    </row>
    <row r="289" spans="2:2" x14ac:dyDescent="0.2">
      <c r="B289" s="108"/>
    </row>
    <row r="290" spans="2:2" x14ac:dyDescent="0.2">
      <c r="B290" s="108"/>
    </row>
    <row r="291" spans="2:2" x14ac:dyDescent="0.2">
      <c r="B291" s="108"/>
    </row>
    <row r="292" spans="2:2" x14ac:dyDescent="0.2">
      <c r="B292" s="108"/>
    </row>
    <row r="293" spans="2:2" x14ac:dyDescent="0.2">
      <c r="B293" s="108"/>
    </row>
    <row r="294" spans="2:2" x14ac:dyDescent="0.2">
      <c r="B294" s="108"/>
    </row>
    <row r="295" spans="2:2" x14ac:dyDescent="0.2">
      <c r="B295" s="108"/>
    </row>
    <row r="296" spans="2:2" x14ac:dyDescent="0.2">
      <c r="B296" s="108"/>
    </row>
    <row r="297" spans="2:2" x14ac:dyDescent="0.2">
      <c r="B297" s="108"/>
    </row>
    <row r="298" spans="2:2" x14ac:dyDescent="0.2">
      <c r="B298" s="108"/>
    </row>
    <row r="299" spans="2:2" x14ac:dyDescent="0.2">
      <c r="B299" s="108"/>
    </row>
    <row r="300" spans="2:2" x14ac:dyDescent="0.2">
      <c r="B300" s="108"/>
    </row>
    <row r="301" spans="2:2" x14ac:dyDescent="0.2">
      <c r="B301" s="108"/>
    </row>
    <row r="302" spans="2:2" x14ac:dyDescent="0.2">
      <c r="B302" s="108"/>
    </row>
    <row r="303" spans="2:2" x14ac:dyDescent="0.2">
      <c r="B303" s="108"/>
    </row>
    <row r="304" spans="2:2" x14ac:dyDescent="0.2">
      <c r="B304" s="108"/>
    </row>
    <row r="305" spans="2:2" x14ac:dyDescent="0.2">
      <c r="B305" s="108"/>
    </row>
    <row r="306" spans="2:2" x14ac:dyDescent="0.2">
      <c r="B306" s="108"/>
    </row>
    <row r="307" spans="2:2" x14ac:dyDescent="0.2">
      <c r="B307" s="108"/>
    </row>
    <row r="308" spans="2:2" x14ac:dyDescent="0.2">
      <c r="B308" s="108"/>
    </row>
    <row r="309" spans="2:2" x14ac:dyDescent="0.2">
      <c r="B309" s="108"/>
    </row>
    <row r="310" spans="2:2" x14ac:dyDescent="0.2">
      <c r="B310" s="108"/>
    </row>
    <row r="311" spans="2:2" x14ac:dyDescent="0.2">
      <c r="B311" s="108"/>
    </row>
    <row r="312" spans="2:2" x14ac:dyDescent="0.2">
      <c r="B312" s="108"/>
    </row>
    <row r="313" spans="2:2" x14ac:dyDescent="0.2">
      <c r="B313" s="108"/>
    </row>
    <row r="314" spans="2:2" x14ac:dyDescent="0.2">
      <c r="B314" s="108"/>
    </row>
    <row r="315" spans="2:2" x14ac:dyDescent="0.2">
      <c r="B315" s="108"/>
    </row>
    <row r="316" spans="2:2" x14ac:dyDescent="0.2">
      <c r="B316" s="108"/>
    </row>
    <row r="317" spans="2:2" x14ac:dyDescent="0.2">
      <c r="B317" s="108"/>
    </row>
    <row r="318" spans="2:2" x14ac:dyDescent="0.2">
      <c r="B318" s="108"/>
    </row>
    <row r="319" spans="2:2" x14ac:dyDescent="0.2">
      <c r="B319" s="108"/>
    </row>
    <row r="320" spans="2:2" x14ac:dyDescent="0.2">
      <c r="B320" s="108"/>
    </row>
    <row r="321" spans="2:2" x14ac:dyDescent="0.2">
      <c r="B321" s="108"/>
    </row>
    <row r="322" spans="2:2" x14ac:dyDescent="0.2">
      <c r="B322" s="108"/>
    </row>
    <row r="323" spans="2:2" x14ac:dyDescent="0.2">
      <c r="B323" s="108"/>
    </row>
    <row r="324" spans="2:2" x14ac:dyDescent="0.2">
      <c r="B324" s="108"/>
    </row>
    <row r="325" spans="2:2" x14ac:dyDescent="0.2">
      <c r="B325" s="108"/>
    </row>
    <row r="326" spans="2:2" x14ac:dyDescent="0.2">
      <c r="B326" s="108"/>
    </row>
    <row r="327" spans="2:2" x14ac:dyDescent="0.2">
      <c r="B327" s="108"/>
    </row>
    <row r="328" spans="2:2" x14ac:dyDescent="0.2">
      <c r="B328" s="108"/>
    </row>
    <row r="329" spans="2:2" x14ac:dyDescent="0.2">
      <c r="B329" s="108"/>
    </row>
    <row r="330" spans="2:2" x14ac:dyDescent="0.2">
      <c r="B330" s="108"/>
    </row>
    <row r="331" spans="2:2" x14ac:dyDescent="0.2">
      <c r="B331" s="108"/>
    </row>
    <row r="332" spans="2:2" x14ac:dyDescent="0.2">
      <c r="B332" s="108"/>
    </row>
    <row r="333" spans="2:2" x14ac:dyDescent="0.2">
      <c r="B333" s="108"/>
    </row>
    <row r="334" spans="2:2" x14ac:dyDescent="0.2">
      <c r="B334" s="108"/>
    </row>
    <row r="335" spans="2:2" x14ac:dyDescent="0.2">
      <c r="B335" s="108"/>
    </row>
    <row r="336" spans="2:2" x14ac:dyDescent="0.2">
      <c r="B336" s="108"/>
    </row>
    <row r="337" spans="2:2" x14ac:dyDescent="0.2">
      <c r="B337" s="108"/>
    </row>
    <row r="338" spans="2:2" x14ac:dyDescent="0.2">
      <c r="B338" s="108"/>
    </row>
    <row r="339" spans="2:2" x14ac:dyDescent="0.2">
      <c r="B339" s="108"/>
    </row>
    <row r="340" spans="2:2" x14ac:dyDescent="0.2">
      <c r="B340" s="108"/>
    </row>
    <row r="341" spans="2:2" x14ac:dyDescent="0.2">
      <c r="B341" s="108"/>
    </row>
    <row r="342" spans="2:2" x14ac:dyDescent="0.2">
      <c r="B342" s="108"/>
    </row>
    <row r="343" spans="2:2" x14ac:dyDescent="0.2">
      <c r="B343" s="108"/>
    </row>
    <row r="344" spans="2:2" x14ac:dyDescent="0.2">
      <c r="B344" s="108"/>
    </row>
    <row r="345" spans="2:2" x14ac:dyDescent="0.2">
      <c r="B345" s="108"/>
    </row>
    <row r="346" spans="2:2" x14ac:dyDescent="0.2">
      <c r="B346" s="108"/>
    </row>
    <row r="347" spans="2:2" x14ac:dyDescent="0.2">
      <c r="B347" s="108"/>
    </row>
    <row r="348" spans="2:2" x14ac:dyDescent="0.2">
      <c r="B348" s="108"/>
    </row>
    <row r="349" spans="2:2" x14ac:dyDescent="0.2">
      <c r="B349" s="108"/>
    </row>
    <row r="350" spans="2:2" x14ac:dyDescent="0.2">
      <c r="B350" s="108"/>
    </row>
    <row r="351" spans="2:2" x14ac:dyDescent="0.2">
      <c r="B351" s="108"/>
    </row>
    <row r="352" spans="2:2" x14ac:dyDescent="0.2">
      <c r="B352" s="108"/>
    </row>
    <row r="353" spans="2:2" x14ac:dyDescent="0.2">
      <c r="B353" s="108"/>
    </row>
    <row r="354" spans="2:2" x14ac:dyDescent="0.2">
      <c r="B354" s="108"/>
    </row>
    <row r="355" spans="2:2" x14ac:dyDescent="0.2">
      <c r="B355" s="108"/>
    </row>
    <row r="356" spans="2:2" x14ac:dyDescent="0.2">
      <c r="B356" s="108"/>
    </row>
    <row r="357" spans="2:2" x14ac:dyDescent="0.2">
      <c r="B357" s="108"/>
    </row>
    <row r="358" spans="2:2" x14ac:dyDescent="0.2">
      <c r="B358" s="108"/>
    </row>
    <row r="359" spans="2:2" x14ac:dyDescent="0.2">
      <c r="B359" s="108"/>
    </row>
    <row r="360" spans="2:2" x14ac:dyDescent="0.2">
      <c r="B360" s="108"/>
    </row>
    <row r="361" spans="2:2" x14ac:dyDescent="0.2">
      <c r="B361" s="108"/>
    </row>
    <row r="362" spans="2:2" x14ac:dyDescent="0.2">
      <c r="B362" s="108"/>
    </row>
    <row r="363" spans="2:2" x14ac:dyDescent="0.2">
      <c r="B363" s="108"/>
    </row>
    <row r="364" spans="2:2" x14ac:dyDescent="0.2">
      <c r="B364" s="108"/>
    </row>
    <row r="365" spans="2:2" x14ac:dyDescent="0.2">
      <c r="B365" s="108"/>
    </row>
    <row r="366" spans="2:2" x14ac:dyDescent="0.2">
      <c r="B366" s="108"/>
    </row>
    <row r="367" spans="2:2" x14ac:dyDescent="0.2">
      <c r="B367" s="108"/>
    </row>
    <row r="368" spans="2:2" x14ac:dyDescent="0.2">
      <c r="B368" s="108"/>
    </row>
    <row r="369" spans="2:2" x14ac:dyDescent="0.2">
      <c r="B369" s="108"/>
    </row>
    <row r="370" spans="2:2" x14ac:dyDescent="0.2">
      <c r="B370" s="108"/>
    </row>
    <row r="371" spans="2:2" x14ac:dyDescent="0.2">
      <c r="B371" s="108"/>
    </row>
    <row r="372" spans="2:2" x14ac:dyDescent="0.2">
      <c r="B372" s="108"/>
    </row>
    <row r="373" spans="2:2" x14ac:dyDescent="0.2">
      <c r="B373" s="108"/>
    </row>
    <row r="374" spans="2:2" x14ac:dyDescent="0.2">
      <c r="B374" s="108"/>
    </row>
    <row r="375" spans="2:2" x14ac:dyDescent="0.2">
      <c r="B375" s="108"/>
    </row>
    <row r="376" spans="2:2" x14ac:dyDescent="0.2">
      <c r="B376" s="108"/>
    </row>
    <row r="377" spans="2:2" x14ac:dyDescent="0.2">
      <c r="B377" s="108"/>
    </row>
    <row r="378" spans="2:2" x14ac:dyDescent="0.2">
      <c r="B378" s="108"/>
    </row>
    <row r="379" spans="2:2" x14ac:dyDescent="0.2">
      <c r="B379" s="108"/>
    </row>
    <row r="380" spans="2:2" x14ac:dyDescent="0.2">
      <c r="B380" s="108"/>
    </row>
    <row r="381" spans="2:2" x14ac:dyDescent="0.2">
      <c r="B381" s="108"/>
    </row>
    <row r="382" spans="2:2" x14ac:dyDescent="0.2">
      <c r="B382" s="108"/>
    </row>
    <row r="383" spans="2:2" x14ac:dyDescent="0.2">
      <c r="B383" s="108"/>
    </row>
    <row r="384" spans="2:2" x14ac:dyDescent="0.2">
      <c r="B384" s="108"/>
    </row>
    <row r="385" spans="2:2" x14ac:dyDescent="0.2">
      <c r="B385" s="108"/>
    </row>
    <row r="386" spans="2:2" x14ac:dyDescent="0.2">
      <c r="B386" s="108"/>
    </row>
    <row r="387" spans="2:2" x14ac:dyDescent="0.2">
      <c r="B387" s="108"/>
    </row>
    <row r="388" spans="2:2" x14ac:dyDescent="0.2">
      <c r="B388" s="108"/>
    </row>
    <row r="389" spans="2:2" x14ac:dyDescent="0.2">
      <c r="B389" s="108"/>
    </row>
    <row r="390" spans="2:2" x14ac:dyDescent="0.2">
      <c r="B390" s="108"/>
    </row>
    <row r="391" spans="2:2" x14ac:dyDescent="0.2">
      <c r="B391" s="108"/>
    </row>
    <row r="392" spans="2:2" x14ac:dyDescent="0.2">
      <c r="B392" s="108"/>
    </row>
    <row r="393" spans="2:2" x14ac:dyDescent="0.2">
      <c r="B393" s="108"/>
    </row>
    <row r="394" spans="2:2" x14ac:dyDescent="0.2">
      <c r="B394" s="108"/>
    </row>
    <row r="395" spans="2:2" x14ac:dyDescent="0.2">
      <c r="B395" s="108"/>
    </row>
    <row r="396" spans="2:2" x14ac:dyDescent="0.2">
      <c r="B396" s="108"/>
    </row>
    <row r="397" spans="2:2" x14ac:dyDescent="0.2">
      <c r="B397" s="108"/>
    </row>
    <row r="398" spans="2:2" x14ac:dyDescent="0.2">
      <c r="B398" s="108"/>
    </row>
    <row r="399" spans="2:2" x14ac:dyDescent="0.2">
      <c r="B399" s="108"/>
    </row>
    <row r="400" spans="2:2" x14ac:dyDescent="0.2">
      <c r="B400" s="108"/>
    </row>
    <row r="401" spans="2:2" x14ac:dyDescent="0.2">
      <c r="B401" s="108"/>
    </row>
    <row r="402" spans="2:2" x14ac:dyDescent="0.2">
      <c r="B402" s="108"/>
    </row>
    <row r="403" spans="2:2" x14ac:dyDescent="0.2">
      <c r="B403" s="108"/>
    </row>
    <row r="404" spans="2:2" x14ac:dyDescent="0.2">
      <c r="B404" s="108"/>
    </row>
    <row r="405" spans="2:2" x14ac:dyDescent="0.2">
      <c r="B405" s="108"/>
    </row>
    <row r="406" spans="2:2" x14ac:dyDescent="0.2">
      <c r="B406" s="108"/>
    </row>
    <row r="407" spans="2:2" x14ac:dyDescent="0.2">
      <c r="B407" s="108"/>
    </row>
    <row r="408" spans="2:2" x14ac:dyDescent="0.2">
      <c r="B408" s="108"/>
    </row>
    <row r="409" spans="2:2" x14ac:dyDescent="0.2">
      <c r="B409" s="108"/>
    </row>
    <row r="410" spans="2:2" x14ac:dyDescent="0.2">
      <c r="B410" s="108"/>
    </row>
    <row r="411" spans="2:2" x14ac:dyDescent="0.2">
      <c r="B411" s="108"/>
    </row>
    <row r="412" spans="2:2" x14ac:dyDescent="0.2">
      <c r="B412" s="108"/>
    </row>
  </sheetData>
  <mergeCells count="225">
    <mergeCell ref="A11:P11"/>
    <mergeCell ref="K23:L23"/>
    <mergeCell ref="M23:N23"/>
    <mergeCell ref="L2:U2"/>
    <mergeCell ref="L4:U4"/>
    <mergeCell ref="L6:U6"/>
    <mergeCell ref="R8:U8"/>
    <mergeCell ref="G9:O9"/>
    <mergeCell ref="A10:P10"/>
    <mergeCell ref="A17:U19"/>
    <mergeCell ref="A13:P13"/>
    <mergeCell ref="A12:P12"/>
    <mergeCell ref="K27:L27"/>
    <mergeCell ref="M27:N27"/>
    <mergeCell ref="A32:A33"/>
    <mergeCell ref="B32:N33"/>
    <mergeCell ref="O32:S33"/>
    <mergeCell ref="T32:U32"/>
    <mergeCell ref="T33:U33"/>
    <mergeCell ref="K24:L24"/>
    <mergeCell ref="M24:N24"/>
    <mergeCell ref="K25:L25"/>
    <mergeCell ref="M25:N25"/>
    <mergeCell ref="K26:L26"/>
    <mergeCell ref="M26:N26"/>
    <mergeCell ref="O37:S37"/>
    <mergeCell ref="T37:U37"/>
    <mergeCell ref="O38:S38"/>
    <mergeCell ref="T38:U38"/>
    <mergeCell ref="O39:S39"/>
    <mergeCell ref="T39:U39"/>
    <mergeCell ref="O34:S34"/>
    <mergeCell ref="T34:U34"/>
    <mergeCell ref="O35:S35"/>
    <mergeCell ref="T35:U35"/>
    <mergeCell ref="O36:S36"/>
    <mergeCell ref="T36:U36"/>
    <mergeCell ref="O43:S43"/>
    <mergeCell ref="T43:U43"/>
    <mergeCell ref="O44:S44"/>
    <mergeCell ref="T44:U44"/>
    <mergeCell ref="O45:S45"/>
    <mergeCell ref="T45:U45"/>
    <mergeCell ref="O40:S40"/>
    <mergeCell ref="T40:U40"/>
    <mergeCell ref="O41:S41"/>
    <mergeCell ref="T41:U41"/>
    <mergeCell ref="O42:S42"/>
    <mergeCell ref="T42:U42"/>
    <mergeCell ref="O49:S49"/>
    <mergeCell ref="T49:U49"/>
    <mergeCell ref="O50:S50"/>
    <mergeCell ref="T50:U50"/>
    <mergeCell ref="O51:S51"/>
    <mergeCell ref="T51:U51"/>
    <mergeCell ref="O46:S46"/>
    <mergeCell ref="T46:U46"/>
    <mergeCell ref="O47:S47"/>
    <mergeCell ref="T47:U47"/>
    <mergeCell ref="O48:S48"/>
    <mergeCell ref="T48:U48"/>
    <mergeCell ref="O55:S55"/>
    <mergeCell ref="T55:U55"/>
    <mergeCell ref="O56:S56"/>
    <mergeCell ref="T56:U56"/>
    <mergeCell ref="O57:S57"/>
    <mergeCell ref="T57:U57"/>
    <mergeCell ref="O52:S52"/>
    <mergeCell ref="T52:U52"/>
    <mergeCell ref="O53:S53"/>
    <mergeCell ref="T53:U53"/>
    <mergeCell ref="O54:S54"/>
    <mergeCell ref="T54:U54"/>
    <mergeCell ref="O61:S61"/>
    <mergeCell ref="T61:U61"/>
    <mergeCell ref="O62:S62"/>
    <mergeCell ref="T62:U62"/>
    <mergeCell ref="O63:S63"/>
    <mergeCell ref="T63:U63"/>
    <mergeCell ref="O58:S58"/>
    <mergeCell ref="T58:U58"/>
    <mergeCell ref="O59:S59"/>
    <mergeCell ref="T59:U59"/>
    <mergeCell ref="O60:S60"/>
    <mergeCell ref="T60:U60"/>
    <mergeCell ref="O67:S67"/>
    <mergeCell ref="T67:U67"/>
    <mergeCell ref="O68:S68"/>
    <mergeCell ref="T68:U68"/>
    <mergeCell ref="O69:S69"/>
    <mergeCell ref="T69:U69"/>
    <mergeCell ref="O64:S64"/>
    <mergeCell ref="T64:U64"/>
    <mergeCell ref="O65:S65"/>
    <mergeCell ref="T65:U65"/>
    <mergeCell ref="O66:S66"/>
    <mergeCell ref="T66:U66"/>
    <mergeCell ref="O73:S73"/>
    <mergeCell ref="T73:U73"/>
    <mergeCell ref="O74:S74"/>
    <mergeCell ref="T74:U74"/>
    <mergeCell ref="O75:S75"/>
    <mergeCell ref="T75:U75"/>
    <mergeCell ref="O70:S70"/>
    <mergeCell ref="T70:U70"/>
    <mergeCell ref="O71:S71"/>
    <mergeCell ref="T71:U71"/>
    <mergeCell ref="O72:S72"/>
    <mergeCell ref="T72:U72"/>
    <mergeCell ref="O79:S79"/>
    <mergeCell ref="T79:U79"/>
    <mergeCell ref="O80:S80"/>
    <mergeCell ref="T80:U80"/>
    <mergeCell ref="O81:S81"/>
    <mergeCell ref="T81:U81"/>
    <mergeCell ref="O76:S76"/>
    <mergeCell ref="T76:U76"/>
    <mergeCell ref="O77:S77"/>
    <mergeCell ref="T77:U77"/>
    <mergeCell ref="O78:S78"/>
    <mergeCell ref="T78:U78"/>
    <mergeCell ref="O85:S85"/>
    <mergeCell ref="T85:U85"/>
    <mergeCell ref="O86:S86"/>
    <mergeCell ref="T86:U86"/>
    <mergeCell ref="O87:S87"/>
    <mergeCell ref="T87:U87"/>
    <mergeCell ref="O82:S82"/>
    <mergeCell ref="T82:U82"/>
    <mergeCell ref="O83:S83"/>
    <mergeCell ref="T83:U83"/>
    <mergeCell ref="O84:S84"/>
    <mergeCell ref="T84:U84"/>
    <mergeCell ref="O91:S91"/>
    <mergeCell ref="T91:U91"/>
    <mergeCell ref="O92:S92"/>
    <mergeCell ref="T92:U92"/>
    <mergeCell ref="O93:S93"/>
    <mergeCell ref="T93:U93"/>
    <mergeCell ref="O88:S88"/>
    <mergeCell ref="T88:U88"/>
    <mergeCell ref="O89:S89"/>
    <mergeCell ref="T89:U89"/>
    <mergeCell ref="O90:S90"/>
    <mergeCell ref="T90:U90"/>
    <mergeCell ref="O94:S94"/>
    <mergeCell ref="T94:U94"/>
    <mergeCell ref="O95:S95"/>
    <mergeCell ref="T95:U95"/>
    <mergeCell ref="O96:S96"/>
    <mergeCell ref="T96:U96"/>
    <mergeCell ref="O97:S97"/>
    <mergeCell ref="T97:U97"/>
    <mergeCell ref="O98:S98"/>
    <mergeCell ref="T98:U98"/>
    <mergeCell ref="O99:S99"/>
    <mergeCell ref="T99:U99"/>
    <mergeCell ref="O100:S100"/>
    <mergeCell ref="T100:U100"/>
    <mergeCell ref="O101:S101"/>
    <mergeCell ref="T101:U101"/>
    <mergeCell ref="O102:S102"/>
    <mergeCell ref="T102:U102"/>
    <mergeCell ref="O103:S103"/>
    <mergeCell ref="T103:U103"/>
    <mergeCell ref="O104:S104"/>
    <mergeCell ref="T104:U104"/>
    <mergeCell ref="O105:S105"/>
    <mergeCell ref="T105:U105"/>
    <mergeCell ref="O106:S106"/>
    <mergeCell ref="T106:U106"/>
    <mergeCell ref="O107:S107"/>
    <mergeCell ref="T107:U107"/>
    <mergeCell ref="O108:S108"/>
    <mergeCell ref="T108:U108"/>
    <mergeCell ref="O109:S109"/>
    <mergeCell ref="T109:U109"/>
    <mergeCell ref="O110:S110"/>
    <mergeCell ref="T110:U110"/>
    <mergeCell ref="O111:S111"/>
    <mergeCell ref="T111:U111"/>
    <mergeCell ref="O112:S112"/>
    <mergeCell ref="T112:U112"/>
    <mergeCell ref="O113:S113"/>
    <mergeCell ref="T113:U113"/>
    <mergeCell ref="O114:S114"/>
    <mergeCell ref="T114:U114"/>
    <mergeCell ref="O115:S115"/>
    <mergeCell ref="T115:U115"/>
    <mergeCell ref="O116:S116"/>
    <mergeCell ref="T116:U116"/>
    <mergeCell ref="O117:S117"/>
    <mergeCell ref="T117:U117"/>
    <mergeCell ref="O118:S118"/>
    <mergeCell ref="T118:U118"/>
    <mergeCell ref="O119:S119"/>
    <mergeCell ref="T119:U119"/>
    <mergeCell ref="O120:S120"/>
    <mergeCell ref="T120:U120"/>
    <mergeCell ref="O121:S121"/>
    <mergeCell ref="T121:U121"/>
    <mergeCell ref="O122:S122"/>
    <mergeCell ref="T122:U122"/>
    <mergeCell ref="O123:S123"/>
    <mergeCell ref="T123:U123"/>
    <mergeCell ref="O124:S124"/>
    <mergeCell ref="T124:U124"/>
    <mergeCell ref="O125:S125"/>
    <mergeCell ref="T125:U125"/>
    <mergeCell ref="O126:S126"/>
    <mergeCell ref="T126:U126"/>
    <mergeCell ref="O127:S127"/>
    <mergeCell ref="T127:U127"/>
    <mergeCell ref="O128:S128"/>
    <mergeCell ref="T128:U128"/>
    <mergeCell ref="O129:S129"/>
    <mergeCell ref="T129:U129"/>
    <mergeCell ref="O130:S130"/>
    <mergeCell ref="T130:U130"/>
    <mergeCell ref="O131:S131"/>
    <mergeCell ref="T131:U131"/>
    <mergeCell ref="O132:S132"/>
    <mergeCell ref="T132:U132"/>
    <mergeCell ref="O133:S133"/>
    <mergeCell ref="T133:U133"/>
  </mergeCells>
  <pageMargins left="0.5" right="0.5" top="1.5" bottom="0.91041666666666698" header="0.5" footer="0.67013888888888895"/>
  <pageSetup scale="91" firstPageNumber="0" orientation="portrait" horizontalDpi="300" verticalDpi="300" r:id="rId1"/>
  <headerFooter alignWithMargins="0">
    <oddHeader>&amp;C&amp;"amlogo1,Regular"&amp;28AM&amp;20
&amp;"Times New Roman,Bold"&amp;16ALLGEIER, MARTIN and ASSOCIATES, INC.
&amp;"Albertus Medium,Regular"&amp;8CONSULTING ENGINEERS
&amp;"Tahoma,Bold"&amp;12DRAWING TRANSMITTAL AND RECORD</oddHeader>
    <oddFooter>&amp;C&amp;P of &amp;N&amp;R&amp;F</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4" r:id="rId4" name="Button 2">
              <controlPr defaultSize="0" print="0" autoFill="0" autoPict="0" macro="[0]!Sheet1.PrintMe" altText="PDF ME">
                <anchor moveWithCells="1" sizeWithCells="1">
                  <from>
                    <xdr:col>22</xdr:col>
                    <xdr:colOff>142875</xdr:colOff>
                    <xdr:row>3</xdr:row>
                    <xdr:rowOff>0</xdr:rowOff>
                  </from>
                  <to>
                    <xdr:col>23</xdr:col>
                    <xdr:colOff>542925</xdr:colOff>
                    <xdr:row>6</xdr:row>
                    <xdr:rowOff>47625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D36"/>
  <sheetViews>
    <sheetView workbookViewId="0">
      <selection activeCell="E48" sqref="E48"/>
    </sheetView>
  </sheetViews>
  <sheetFormatPr defaultRowHeight="15" x14ac:dyDescent="0.25"/>
  <cols>
    <col min="1" max="1" width="19" bestFit="1" customWidth="1"/>
    <col min="9" max="9" width="22" bestFit="1" customWidth="1"/>
    <col min="10" max="10" width="49.5703125" customWidth="1"/>
    <col min="12" max="12" width="32.85546875" customWidth="1"/>
    <col min="13" max="13" width="63.42578125" customWidth="1"/>
    <col min="14" max="14" width="5.5703125" customWidth="1"/>
    <col min="15" max="15" width="28.7109375" customWidth="1"/>
    <col min="17" max="17" width="14.7109375" customWidth="1"/>
    <col min="18" max="18" width="7.5703125" customWidth="1"/>
    <col min="19" max="19" width="12" customWidth="1"/>
    <col min="21" max="21" width="11.140625" customWidth="1"/>
    <col min="23" max="23" width="30.7109375" customWidth="1"/>
    <col min="25" max="25" width="53.28515625" customWidth="1"/>
    <col min="30" max="30" width="41" bestFit="1" customWidth="1"/>
  </cols>
  <sheetData>
    <row r="1" spans="1:30" ht="15.75" thickBot="1" x14ac:dyDescent="0.3">
      <c r="A1" s="22" t="s">
        <v>407</v>
      </c>
      <c r="B1">
        <v>1</v>
      </c>
      <c r="C1" s="32">
        <v>6</v>
      </c>
      <c r="D1" s="32">
        <v>0</v>
      </c>
      <c r="E1" t="s">
        <v>100</v>
      </c>
      <c r="I1" s="128" t="s">
        <v>169</v>
      </c>
      <c r="J1" s="24" t="s">
        <v>367</v>
      </c>
      <c r="K1" s="61" t="s">
        <v>141</v>
      </c>
      <c r="L1" s="23"/>
      <c r="M1" s="24"/>
      <c r="N1" s="62" t="s">
        <v>351</v>
      </c>
      <c r="O1" s="62"/>
      <c r="P1" s="61" t="s">
        <v>118</v>
      </c>
      <c r="Q1" s="62"/>
      <c r="R1" s="62" t="s">
        <v>117</v>
      </c>
      <c r="S1" s="62"/>
      <c r="T1" s="62" t="s">
        <v>116</v>
      </c>
      <c r="U1" s="62"/>
      <c r="V1" s="62" t="s">
        <v>351</v>
      </c>
      <c r="W1" s="235"/>
      <c r="X1" s="62" t="s">
        <v>119</v>
      </c>
      <c r="Y1" s="24"/>
    </row>
    <row r="2" spans="1:30" ht="15.75" thickBot="1" x14ac:dyDescent="0.3">
      <c r="A2" t="s">
        <v>408</v>
      </c>
      <c r="B2">
        <v>3</v>
      </c>
      <c r="I2" s="25" t="s">
        <v>65</v>
      </c>
      <c r="J2" s="26" t="s">
        <v>368</v>
      </c>
      <c r="K2" s="215" t="s">
        <v>351</v>
      </c>
      <c r="L2" s="216" t="s">
        <v>118</v>
      </c>
      <c r="M2" s="217">
        <v>16</v>
      </c>
      <c r="N2" s="65">
        <f>VLOOKUP(N1,clientlist,2,FALSE)</f>
        <v>22</v>
      </c>
      <c r="O2" s="65" t="s">
        <v>139</v>
      </c>
      <c r="P2" s="249">
        <v>16</v>
      </c>
      <c r="Q2" s="242"/>
      <c r="R2" s="242">
        <v>18</v>
      </c>
      <c r="S2" s="242"/>
      <c r="T2" s="242">
        <v>20</v>
      </c>
      <c r="U2" s="242"/>
      <c r="V2" s="242">
        <v>22</v>
      </c>
      <c r="W2" s="66"/>
      <c r="X2" s="242">
        <v>24</v>
      </c>
      <c r="Y2" s="27"/>
    </row>
    <row r="3" spans="1:30" x14ac:dyDescent="0.25">
      <c r="A3" t="s">
        <v>409</v>
      </c>
      <c r="B3">
        <v>5</v>
      </c>
      <c r="I3" s="25" t="s">
        <v>62</v>
      </c>
      <c r="J3" s="27" t="s">
        <v>369</v>
      </c>
      <c r="K3" t="s">
        <v>174</v>
      </c>
      <c r="L3" s="216" t="s">
        <v>117</v>
      </c>
      <c r="M3" s="217">
        <v>18</v>
      </c>
      <c r="N3" s="68" t="s">
        <v>106</v>
      </c>
      <c r="O3" s="230" t="s">
        <v>352</v>
      </c>
      <c r="P3" s="250" t="s">
        <v>106</v>
      </c>
      <c r="Q3" s="68" t="s">
        <v>140</v>
      </c>
      <c r="R3" s="68" t="s">
        <v>106</v>
      </c>
      <c r="S3" s="68" t="s">
        <v>124</v>
      </c>
      <c r="T3" s="68" t="s">
        <v>106</v>
      </c>
      <c r="U3" s="68" t="str">
        <f>"MO 72 "&amp;T3</f>
        <v>MO 72 a</v>
      </c>
      <c r="V3" s="68" t="s">
        <v>106</v>
      </c>
      <c r="W3" s="230" t="s">
        <v>352</v>
      </c>
      <c r="X3" s="68" t="s">
        <v>106</v>
      </c>
      <c r="Y3" s="251" t="s">
        <v>331</v>
      </c>
    </row>
    <row r="4" spans="1:30" x14ac:dyDescent="0.25">
      <c r="I4" s="25" t="s">
        <v>63</v>
      </c>
      <c r="J4" s="27" t="s">
        <v>370</v>
      </c>
      <c r="K4" t="s">
        <v>20</v>
      </c>
      <c r="L4" s="216" t="s">
        <v>116</v>
      </c>
      <c r="M4" s="217">
        <v>20</v>
      </c>
      <c r="N4" s="64" t="s">
        <v>107</v>
      </c>
      <c r="O4" s="231" t="s">
        <v>357</v>
      </c>
      <c r="P4" s="240" t="s">
        <v>107</v>
      </c>
      <c r="Q4" s="64" t="str">
        <f>"AR-32 "&amp;P4</f>
        <v>AR-32 b</v>
      </c>
      <c r="R4" s="64" t="s">
        <v>107</v>
      </c>
      <c r="S4" s="64" t="s">
        <v>125</v>
      </c>
      <c r="T4" s="64" t="s">
        <v>107</v>
      </c>
      <c r="U4" s="64" t="str">
        <f t="shared" ref="U4:U17" si="0">"MO 72 "&amp;T4</f>
        <v>MO 72 b</v>
      </c>
      <c r="V4" s="64" t="s">
        <v>107</v>
      </c>
      <c r="W4" s="231" t="s">
        <v>357</v>
      </c>
      <c r="X4" s="64" t="s">
        <v>107</v>
      </c>
      <c r="Y4" s="212" t="s">
        <v>332</v>
      </c>
      <c r="AD4" t="s">
        <v>410</v>
      </c>
    </row>
    <row r="5" spans="1:30" ht="15.75" thickBot="1" x14ac:dyDescent="0.3">
      <c r="I5" s="25" t="s">
        <v>71</v>
      </c>
      <c r="J5" s="27" t="s">
        <v>371</v>
      </c>
      <c r="K5" t="s">
        <v>175</v>
      </c>
      <c r="L5" s="216" t="s">
        <v>351</v>
      </c>
      <c r="M5" s="217">
        <v>22</v>
      </c>
      <c r="N5" s="64" t="s">
        <v>108</v>
      </c>
      <c r="O5" s="231" t="s">
        <v>358</v>
      </c>
      <c r="P5" s="240" t="s">
        <v>108</v>
      </c>
      <c r="Q5" s="64" t="str">
        <f t="shared" ref="Q5:Q17" si="1">"AR-32 "&amp;P5</f>
        <v>AR-32 c</v>
      </c>
      <c r="R5" s="64" t="s">
        <v>108</v>
      </c>
      <c r="S5" s="64" t="s">
        <v>126</v>
      </c>
      <c r="T5" s="64" t="s">
        <v>108</v>
      </c>
      <c r="U5" s="64" t="str">
        <f t="shared" si="0"/>
        <v>MO 72 c</v>
      </c>
      <c r="V5" s="64" t="s">
        <v>108</v>
      </c>
      <c r="W5" s="231" t="s">
        <v>358</v>
      </c>
      <c r="X5" s="64" t="s">
        <v>108</v>
      </c>
      <c r="Y5" s="212" t="s">
        <v>333</v>
      </c>
    </row>
    <row r="6" spans="1:30" ht="15.75" thickBot="1" x14ac:dyDescent="0.3">
      <c r="I6" s="124" t="s">
        <v>67</v>
      </c>
      <c r="J6" s="135" t="s">
        <v>351</v>
      </c>
      <c r="K6" t="s">
        <v>21</v>
      </c>
      <c r="L6" s="218" t="s">
        <v>119</v>
      </c>
      <c r="M6" s="236">
        <v>24</v>
      </c>
      <c r="N6" s="64" t="s">
        <v>109</v>
      </c>
      <c r="O6" s="231" t="s">
        <v>359</v>
      </c>
      <c r="P6" s="240" t="s">
        <v>109</v>
      </c>
      <c r="Q6" s="64" t="str">
        <f t="shared" si="1"/>
        <v>AR-32 d</v>
      </c>
      <c r="R6" s="64" t="s">
        <v>109</v>
      </c>
      <c r="S6" s="64" t="s">
        <v>127</v>
      </c>
      <c r="T6" s="64" t="s">
        <v>109</v>
      </c>
      <c r="U6" s="64" t="str">
        <f t="shared" si="0"/>
        <v>MO 72 d</v>
      </c>
      <c r="V6" s="64" t="s">
        <v>109</v>
      </c>
      <c r="W6" s="231" t="s">
        <v>359</v>
      </c>
      <c r="X6" s="64" t="s">
        <v>109</v>
      </c>
      <c r="Y6" s="212" t="s">
        <v>334</v>
      </c>
    </row>
    <row r="7" spans="1:30" ht="15.75" thickBot="1" x14ac:dyDescent="0.3">
      <c r="I7" s="139" t="s">
        <v>66</v>
      </c>
      <c r="J7" s="140" t="s">
        <v>392</v>
      </c>
      <c r="L7" s="28" t="s">
        <v>366</v>
      </c>
      <c r="M7" s="29"/>
      <c r="N7" s="63" t="s">
        <v>110</v>
      </c>
      <c r="O7" s="231" t="s">
        <v>360</v>
      </c>
      <c r="P7" s="240" t="s">
        <v>110</v>
      </c>
      <c r="Q7" s="64" t="str">
        <f t="shared" si="1"/>
        <v>AR-32 e</v>
      </c>
      <c r="R7" s="64" t="s">
        <v>110</v>
      </c>
      <c r="S7" s="64" t="s">
        <v>128</v>
      </c>
      <c r="T7" s="64" t="s">
        <v>110</v>
      </c>
      <c r="U7" s="64" t="str">
        <f t="shared" si="0"/>
        <v>MO 72 e</v>
      </c>
      <c r="V7" s="64" t="s">
        <v>110</v>
      </c>
      <c r="W7" s="231" t="s">
        <v>360</v>
      </c>
      <c r="X7" s="64" t="s">
        <v>110</v>
      </c>
      <c r="Y7" s="212" t="s">
        <v>279</v>
      </c>
    </row>
    <row r="8" spans="1:30" ht="15.75" thickBot="1" x14ac:dyDescent="0.3">
      <c r="I8" s="124" t="s">
        <v>168</v>
      </c>
      <c r="J8" s="219"/>
      <c r="L8" s="25" t="s">
        <v>345</v>
      </c>
      <c r="M8" s="66" t="s">
        <v>394</v>
      </c>
      <c r="N8" s="63" t="s">
        <v>68</v>
      </c>
      <c r="O8" s="231" t="s">
        <v>361</v>
      </c>
      <c r="P8" s="240" t="s">
        <v>68</v>
      </c>
      <c r="Q8" s="64" t="str">
        <f t="shared" si="1"/>
        <v>AR-32 f</v>
      </c>
      <c r="R8" s="64" t="s">
        <v>68</v>
      </c>
      <c r="S8" s="64" t="s">
        <v>129</v>
      </c>
      <c r="T8" s="64" t="s">
        <v>68</v>
      </c>
      <c r="U8" s="64" t="str">
        <f t="shared" si="0"/>
        <v>MO 72 f</v>
      </c>
      <c r="V8" s="64" t="s">
        <v>68</v>
      </c>
      <c r="W8" s="231" t="s">
        <v>361</v>
      </c>
      <c r="X8" s="64" t="s">
        <v>68</v>
      </c>
      <c r="Y8" s="212" t="s">
        <v>335</v>
      </c>
    </row>
    <row r="9" spans="1:30" s="120" customFormat="1" ht="15.75" thickBot="1" x14ac:dyDescent="0.3">
      <c r="A9" s="119"/>
      <c r="I9" s="126" t="s">
        <v>180</v>
      </c>
      <c r="J9" s="129"/>
      <c r="L9" s="515" t="s">
        <v>226</v>
      </c>
      <c r="M9" s="516"/>
      <c r="N9" s="121" t="s">
        <v>111</v>
      </c>
      <c r="O9" s="231" t="s">
        <v>362</v>
      </c>
      <c r="P9" s="239" t="s">
        <v>111</v>
      </c>
      <c r="Q9" s="122" t="str">
        <f t="shared" si="1"/>
        <v>AR-32 g</v>
      </c>
      <c r="R9" s="122" t="s">
        <v>111</v>
      </c>
      <c r="S9" s="122" t="s">
        <v>130</v>
      </c>
      <c r="T9" s="123" t="s">
        <v>111</v>
      </c>
      <c r="U9" s="122" t="str">
        <f t="shared" si="0"/>
        <v>MO 72 g</v>
      </c>
      <c r="V9" s="122" t="s">
        <v>111</v>
      </c>
      <c r="W9" s="231" t="s">
        <v>362</v>
      </c>
      <c r="X9" s="123" t="s">
        <v>111</v>
      </c>
      <c r="Y9" s="212" t="s">
        <v>281</v>
      </c>
      <c r="AD9"/>
    </row>
    <row r="10" spans="1:30" s="120" customFormat="1" ht="15.75" thickBot="1" x14ac:dyDescent="0.3">
      <c r="I10" s="130" t="s">
        <v>171</v>
      </c>
      <c r="J10" s="127"/>
      <c r="K10" s="132" t="s">
        <v>174</v>
      </c>
      <c r="L10" s="517" t="s">
        <v>326</v>
      </c>
      <c r="M10" s="518"/>
      <c r="N10" s="121" t="s">
        <v>112</v>
      </c>
      <c r="O10" s="232" t="s">
        <v>363</v>
      </c>
      <c r="P10" s="239" t="s">
        <v>112</v>
      </c>
      <c r="Q10" s="122" t="str">
        <f t="shared" si="1"/>
        <v>AR-32 h</v>
      </c>
      <c r="R10" s="122" t="s">
        <v>112</v>
      </c>
      <c r="S10" s="122" t="s">
        <v>131</v>
      </c>
      <c r="T10" s="122" t="s">
        <v>112</v>
      </c>
      <c r="U10" s="122" t="str">
        <f t="shared" si="0"/>
        <v>MO 72 h</v>
      </c>
      <c r="V10" s="122" t="s">
        <v>112</v>
      </c>
      <c r="W10" s="232" t="s">
        <v>363</v>
      </c>
      <c r="X10" s="122" t="s">
        <v>112</v>
      </c>
      <c r="Y10" s="213" t="s">
        <v>336</v>
      </c>
    </row>
    <row r="11" spans="1:30" s="120" customFormat="1" x14ac:dyDescent="0.25">
      <c r="A11" s="119"/>
      <c r="I11" s="126" t="s">
        <v>170</v>
      </c>
      <c r="J11" s="127"/>
      <c r="K11" s="133" t="s">
        <v>20</v>
      </c>
      <c r="L11" s="517" t="s">
        <v>327</v>
      </c>
      <c r="M11" s="518"/>
      <c r="N11" s="121" t="s">
        <v>113</v>
      </c>
      <c r="O11" s="232" t="s">
        <v>353</v>
      </c>
      <c r="P11" s="239" t="s">
        <v>113</v>
      </c>
      <c r="Q11" s="122" t="str">
        <f t="shared" si="1"/>
        <v>AR-32 i</v>
      </c>
      <c r="R11" s="122" t="s">
        <v>113</v>
      </c>
      <c r="S11" s="122" t="s">
        <v>132</v>
      </c>
      <c r="T11" s="122" t="s">
        <v>113</v>
      </c>
      <c r="U11" s="122" t="str">
        <f t="shared" si="0"/>
        <v>MO 72 i</v>
      </c>
      <c r="V11" s="122" t="s">
        <v>113</v>
      </c>
      <c r="W11" s="232" t="s">
        <v>353</v>
      </c>
      <c r="X11" s="122" t="s">
        <v>113</v>
      </c>
      <c r="Y11" s="213" t="s">
        <v>337</v>
      </c>
    </row>
    <row r="12" spans="1:30" s="120" customFormat="1" ht="15.75" thickBot="1" x14ac:dyDescent="0.3">
      <c r="I12" s="126" t="s">
        <v>172</v>
      </c>
      <c r="J12" s="127"/>
      <c r="K12" s="134" t="s">
        <v>68</v>
      </c>
      <c r="L12" s="517" t="s">
        <v>328</v>
      </c>
      <c r="M12" s="518"/>
      <c r="N12" s="121" t="s">
        <v>356</v>
      </c>
      <c r="O12" s="232" t="s">
        <v>364</v>
      </c>
      <c r="P12" s="239" t="s">
        <v>114</v>
      </c>
      <c r="Q12" s="122" t="str">
        <f t="shared" si="1"/>
        <v>AR-32 j</v>
      </c>
      <c r="R12" s="122" t="s">
        <v>114</v>
      </c>
      <c r="S12" s="122" t="s">
        <v>133</v>
      </c>
      <c r="T12" s="122" t="s">
        <v>114</v>
      </c>
      <c r="U12" s="122" t="str">
        <f t="shared" si="0"/>
        <v>MO 72 j</v>
      </c>
      <c r="V12" s="122" t="s">
        <v>356</v>
      </c>
      <c r="W12" s="232" t="s">
        <v>364</v>
      </c>
      <c r="X12" s="122" t="s">
        <v>114</v>
      </c>
      <c r="Y12" s="213" t="s">
        <v>338</v>
      </c>
    </row>
    <row r="13" spans="1:30" x14ac:dyDescent="0.25">
      <c r="A13" s="22"/>
      <c r="I13" s="136" t="s">
        <v>173</v>
      </c>
      <c r="J13" s="137"/>
      <c r="L13" s="519" t="s">
        <v>329</v>
      </c>
      <c r="M13" s="520"/>
      <c r="N13" s="63"/>
      <c r="O13" s="232"/>
      <c r="P13" s="240" t="s">
        <v>115</v>
      </c>
      <c r="Q13" s="64" t="str">
        <f t="shared" si="1"/>
        <v>AR-32 k</v>
      </c>
      <c r="R13" s="64" t="s">
        <v>115</v>
      </c>
      <c r="S13" s="64" t="s">
        <v>134</v>
      </c>
      <c r="T13" s="64" t="s">
        <v>115</v>
      </c>
      <c r="U13" s="64" t="str">
        <f t="shared" si="0"/>
        <v>MO 72 k</v>
      </c>
      <c r="V13" s="64"/>
      <c r="W13" s="232"/>
      <c r="X13" s="64" t="s">
        <v>115</v>
      </c>
      <c r="Y13" s="213" t="s">
        <v>339</v>
      </c>
    </row>
    <row r="14" spans="1:30" ht="15.75" thickBot="1" x14ac:dyDescent="0.3">
      <c r="I14" s="220" t="s">
        <v>176</v>
      </c>
      <c r="J14" s="221"/>
      <c r="L14" s="519" t="s">
        <v>330</v>
      </c>
      <c r="M14" s="520"/>
      <c r="N14" s="63"/>
      <c r="O14" s="231"/>
      <c r="P14" s="240" t="s">
        <v>120</v>
      </c>
      <c r="Q14" s="64" t="str">
        <f t="shared" si="1"/>
        <v>AR-32 l</v>
      </c>
      <c r="R14" s="64" t="s">
        <v>120</v>
      </c>
      <c r="S14" s="64" t="s">
        <v>135</v>
      </c>
      <c r="T14" s="64" t="s">
        <v>120</v>
      </c>
      <c r="U14" s="64" t="str">
        <f t="shared" si="0"/>
        <v>MO 72 l</v>
      </c>
      <c r="V14" s="64"/>
      <c r="W14" s="231"/>
      <c r="X14" s="64" t="s">
        <v>120</v>
      </c>
      <c r="Y14" s="212" t="s">
        <v>340</v>
      </c>
    </row>
    <row r="15" spans="1:30" ht="15.75" thickBot="1" x14ac:dyDescent="0.3">
      <c r="A15" s="22"/>
      <c r="I15" s="222" t="s">
        <v>346</v>
      </c>
      <c r="J15" s="125">
        <v>1</v>
      </c>
      <c r="L15" s="513" t="s">
        <v>344</v>
      </c>
      <c r="M15" s="514"/>
      <c r="N15" s="63"/>
      <c r="O15" s="231"/>
      <c r="P15" s="240" t="s">
        <v>121</v>
      </c>
      <c r="Q15" s="64" t="str">
        <f t="shared" si="1"/>
        <v>AR-32 m</v>
      </c>
      <c r="R15" s="64" t="s">
        <v>121</v>
      </c>
      <c r="S15" s="64" t="s">
        <v>136</v>
      </c>
      <c r="T15" s="64" t="s">
        <v>121</v>
      </c>
      <c r="U15" s="64" t="str">
        <f t="shared" si="0"/>
        <v>MO 72 m</v>
      </c>
      <c r="V15" s="64"/>
      <c r="W15" s="231"/>
      <c r="X15" s="64" t="s">
        <v>121</v>
      </c>
      <c r="Y15" s="212" t="s">
        <v>341</v>
      </c>
    </row>
    <row r="16" spans="1:30" ht="15.75" thickBot="1" x14ac:dyDescent="0.3">
      <c r="I16" s="220" t="s">
        <v>347</v>
      </c>
      <c r="J16" s="221" t="b">
        <v>0</v>
      </c>
      <c r="L16" s="25"/>
      <c r="M16" s="66"/>
      <c r="N16" s="63"/>
      <c r="O16" s="231"/>
      <c r="P16" s="240" t="s">
        <v>122</v>
      </c>
      <c r="Q16" s="64" t="str">
        <f t="shared" si="1"/>
        <v>AR-32 n</v>
      </c>
      <c r="R16" s="64" t="s">
        <v>122</v>
      </c>
      <c r="S16" s="64" t="s">
        <v>137</v>
      </c>
      <c r="T16" s="64" t="s">
        <v>122</v>
      </c>
      <c r="U16" s="64" t="str">
        <f t="shared" si="0"/>
        <v>MO 72 n</v>
      </c>
      <c r="V16" s="64"/>
      <c r="W16" s="231"/>
      <c r="X16" s="64" t="s">
        <v>122</v>
      </c>
      <c r="Y16" s="212" t="s">
        <v>342</v>
      </c>
    </row>
    <row r="17" spans="1:25" ht="13.5" customHeight="1" thickBot="1" x14ac:dyDescent="0.3">
      <c r="A17" s="22"/>
      <c r="I17" s="124" t="s">
        <v>177</v>
      </c>
      <c r="J17" s="125">
        <v>0.18</v>
      </c>
      <c r="K17" s="66"/>
      <c r="L17" s="28"/>
      <c r="M17" s="67"/>
      <c r="N17" s="63"/>
      <c r="O17" s="233"/>
      <c r="P17" s="240" t="s">
        <v>123</v>
      </c>
      <c r="Q17" s="64" t="str">
        <f t="shared" si="1"/>
        <v>AR-32 o</v>
      </c>
      <c r="R17" s="64" t="s">
        <v>123</v>
      </c>
      <c r="S17" s="64" t="s">
        <v>138</v>
      </c>
      <c r="T17" s="64" t="s">
        <v>123</v>
      </c>
      <c r="U17" s="64" t="str">
        <f t="shared" si="0"/>
        <v>MO 72 o</v>
      </c>
      <c r="V17" s="64"/>
      <c r="W17" s="233"/>
      <c r="X17" s="64" t="s">
        <v>123</v>
      </c>
      <c r="Y17" s="214" t="s">
        <v>343</v>
      </c>
    </row>
    <row r="18" spans="1:25" x14ac:dyDescent="0.25">
      <c r="I18" s="136" t="s">
        <v>178</v>
      </c>
      <c r="J18" s="129">
        <v>0.12</v>
      </c>
      <c r="N18" s="63"/>
      <c r="O18" s="64"/>
      <c r="P18" s="25"/>
      <c r="Q18" s="66"/>
      <c r="R18" s="66"/>
      <c r="S18" s="66"/>
      <c r="T18" s="66"/>
      <c r="U18" s="66"/>
      <c r="V18" s="66"/>
      <c r="W18" s="66"/>
      <c r="X18" s="66"/>
      <c r="Y18" s="27"/>
    </row>
    <row r="19" spans="1:25" x14ac:dyDescent="0.25">
      <c r="A19" s="22"/>
      <c r="I19" s="136" t="s">
        <v>179</v>
      </c>
      <c r="J19" s="137">
        <v>0.18</v>
      </c>
      <c r="N19" s="63"/>
      <c r="O19" s="64"/>
      <c r="P19" s="25"/>
      <c r="Q19" s="66"/>
      <c r="R19" s="66"/>
      <c r="S19" s="66"/>
      <c r="T19" s="66"/>
      <c r="U19" s="66"/>
      <c r="V19" s="66"/>
      <c r="W19" s="66"/>
      <c r="X19" s="66"/>
      <c r="Y19" s="27"/>
    </row>
    <row r="20" spans="1:25" x14ac:dyDescent="0.25">
      <c r="I20" s="237" t="s">
        <v>355</v>
      </c>
      <c r="J20" s="137">
        <v>0.18</v>
      </c>
      <c r="L20" s="378" t="s">
        <v>395</v>
      </c>
      <c r="M20" s="241"/>
      <c r="N20" s="63"/>
      <c r="O20" s="64"/>
      <c r="P20" s="25"/>
      <c r="Q20" s="66"/>
      <c r="R20" s="66"/>
      <c r="S20" s="66"/>
      <c r="T20" s="66"/>
      <c r="U20" s="66"/>
      <c r="V20" s="66"/>
      <c r="W20" s="66"/>
      <c r="X20" s="66"/>
      <c r="Y20" s="27"/>
    </row>
    <row r="21" spans="1:25" ht="15.75" thickBot="1" x14ac:dyDescent="0.3">
      <c r="A21" s="22"/>
      <c r="I21" s="138"/>
      <c r="J21" s="238"/>
      <c r="L21" s="313" t="s">
        <v>393</v>
      </c>
      <c r="M21" s="241"/>
      <c r="N21" s="63"/>
      <c r="O21" s="64"/>
      <c r="P21" s="25"/>
      <c r="Q21" s="66"/>
      <c r="R21" s="66"/>
      <c r="S21" s="66"/>
      <c r="T21" s="66"/>
      <c r="U21" s="66"/>
      <c r="V21" s="66"/>
      <c r="W21" s="66"/>
      <c r="X21" s="66"/>
      <c r="Y21" s="27"/>
    </row>
    <row r="22" spans="1:25" x14ac:dyDescent="0.25">
      <c r="L22" s="312" t="s">
        <v>351</v>
      </c>
      <c r="M22" s="1"/>
      <c r="N22" s="63"/>
      <c r="O22" s="64"/>
      <c r="P22" s="25"/>
      <c r="Q22" s="66"/>
      <c r="R22" s="66"/>
      <c r="S22" s="66"/>
      <c r="T22" s="66"/>
      <c r="U22" s="66"/>
      <c r="V22" s="66"/>
      <c r="W22" s="66"/>
      <c r="X22" s="66"/>
      <c r="Y22" s="27"/>
    </row>
    <row r="23" spans="1:25" ht="15.75" thickBot="1" x14ac:dyDescent="0.3">
      <c r="N23" s="69"/>
      <c r="O23" s="234"/>
      <c r="P23" s="28"/>
      <c r="Q23" s="67"/>
      <c r="R23" s="67"/>
      <c r="S23" s="67"/>
      <c r="T23" s="67"/>
      <c r="U23" s="67"/>
      <c r="V23" s="67"/>
      <c r="W23" s="67"/>
      <c r="X23" s="67"/>
      <c r="Y23" s="29"/>
    </row>
    <row r="24" spans="1:25" x14ac:dyDescent="0.25">
      <c r="I24" s="273" t="s">
        <v>365</v>
      </c>
      <c r="M24" s="1"/>
    </row>
    <row r="25" spans="1:25" ht="15.75" thickBot="1" x14ac:dyDescent="0.3">
      <c r="A25" s="1"/>
      <c r="B25" s="1"/>
      <c r="C25" s="1"/>
      <c r="D25" s="1"/>
      <c r="E25" s="1"/>
      <c r="F25" s="1"/>
      <c r="G25" s="1"/>
      <c r="H25" s="1"/>
      <c r="I25" s="274">
        <v>8</v>
      </c>
      <c r="M25" s="1"/>
    </row>
    <row r="26" spans="1:25" x14ac:dyDescent="0.25">
      <c r="A26" s="1"/>
      <c r="B26" s="1"/>
      <c r="C26" s="1"/>
      <c r="D26" s="1"/>
      <c r="E26" s="1"/>
      <c r="F26" s="1"/>
      <c r="G26" s="1"/>
      <c r="H26" s="1"/>
      <c r="I26" s="1"/>
      <c r="M26" s="1"/>
    </row>
    <row r="27" spans="1:25" x14ac:dyDescent="0.25">
      <c r="A27" s="1"/>
      <c r="B27" s="1"/>
      <c r="C27" s="1"/>
      <c r="D27" s="1"/>
      <c r="E27" s="1"/>
      <c r="F27" s="1"/>
      <c r="G27" s="1"/>
      <c r="H27" s="1"/>
      <c r="I27" s="1"/>
      <c r="M27" s="1"/>
    </row>
    <row r="28" spans="1:25" x14ac:dyDescent="0.25">
      <c r="A28" s="1"/>
      <c r="B28" s="1"/>
      <c r="C28" s="1"/>
      <c r="D28" s="1"/>
      <c r="E28" s="1"/>
      <c r="F28" s="1"/>
      <c r="G28" s="1"/>
      <c r="H28" s="1"/>
      <c r="I28" s="1"/>
      <c r="M28" s="1"/>
    </row>
    <row r="29" spans="1:25" x14ac:dyDescent="0.25">
      <c r="M29" s="1"/>
    </row>
    <row r="30" spans="1:25" x14ac:dyDescent="0.25">
      <c r="M30" s="1"/>
    </row>
    <row r="31" spans="1:25" x14ac:dyDescent="0.25">
      <c r="M31" s="1"/>
    </row>
    <row r="32" spans="1:25" x14ac:dyDescent="0.25">
      <c r="M32" s="1"/>
    </row>
    <row r="33" spans="13:13" x14ac:dyDescent="0.25">
      <c r="M33" s="1"/>
    </row>
    <row r="34" spans="13:13" x14ac:dyDescent="0.25">
      <c r="M34" s="1"/>
    </row>
    <row r="35" spans="13:13" x14ac:dyDescent="0.25">
      <c r="M35" s="1"/>
    </row>
    <row r="36" spans="13:13" x14ac:dyDescent="0.25">
      <c r="M36" s="1"/>
    </row>
  </sheetData>
  <dataConsolidate/>
  <mergeCells count="7">
    <mergeCell ref="L15:M15"/>
    <mergeCell ref="L9:M9"/>
    <mergeCell ref="L10:M10"/>
    <mergeCell ref="L11:M11"/>
    <mergeCell ref="L12:M12"/>
    <mergeCell ref="L13:M13"/>
    <mergeCell ref="L14:M14"/>
  </mergeCells>
  <hyperlinks>
    <hyperlink ref="J2" r:id="rId1" display="joe.brown@amce.com"/>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2:F34"/>
  <sheetViews>
    <sheetView workbookViewId="0">
      <selection activeCell="J26" sqref="J26"/>
    </sheetView>
  </sheetViews>
  <sheetFormatPr defaultRowHeight="15" x14ac:dyDescent="0.25"/>
  <cols>
    <col min="2" max="2" width="30.140625" customWidth="1"/>
  </cols>
  <sheetData>
    <row r="2" spans="2:6" ht="15.75" thickBot="1" x14ac:dyDescent="0.3"/>
    <row r="3" spans="2:6" ht="15" customHeight="1" x14ac:dyDescent="0.25">
      <c r="B3" s="521" t="s">
        <v>59</v>
      </c>
      <c r="C3" s="522"/>
    </row>
    <row r="5" spans="2:6" x14ac:dyDescent="0.25">
      <c r="B5" t="s">
        <v>59</v>
      </c>
      <c r="C5">
        <f>LEN(B5)</f>
        <v>24</v>
      </c>
      <c r="D5">
        <v>1</v>
      </c>
      <c r="E5" t="str">
        <f>MID($B$5,D5,1)</f>
        <v>O</v>
      </c>
      <c r="F5">
        <f>CODE(E5)</f>
        <v>79</v>
      </c>
    </row>
    <row r="6" spans="2:6" x14ac:dyDescent="0.25">
      <c r="C6" s="1">
        <f t="shared" ref="C6:C34" si="0">LEN(B6)</f>
        <v>0</v>
      </c>
      <c r="D6">
        <v>2</v>
      </c>
      <c r="E6" s="1" t="str">
        <f t="shared" ref="E6:E28" si="1">MID($B$5,D6,1)</f>
        <v>r</v>
      </c>
      <c r="F6" s="1">
        <f t="shared" ref="F6:F30" si="2">CODE(E6)</f>
        <v>114</v>
      </c>
    </row>
    <row r="7" spans="2:6" x14ac:dyDescent="0.25">
      <c r="C7" s="1">
        <f t="shared" si="0"/>
        <v>0</v>
      </c>
      <c r="D7">
        <v>3</v>
      </c>
      <c r="E7" s="1" t="str">
        <f t="shared" si="1"/>
        <v>i</v>
      </c>
      <c r="F7" s="1">
        <f t="shared" si="2"/>
        <v>105</v>
      </c>
    </row>
    <row r="8" spans="2:6" x14ac:dyDescent="0.25">
      <c r="C8" s="1">
        <f t="shared" si="0"/>
        <v>0</v>
      </c>
      <c r="D8">
        <v>4</v>
      </c>
      <c r="E8" s="1" t="str">
        <f t="shared" si="1"/>
        <v>g</v>
      </c>
      <c r="F8" s="1">
        <f t="shared" si="2"/>
        <v>103</v>
      </c>
    </row>
    <row r="9" spans="2:6" x14ac:dyDescent="0.25">
      <c r="C9" s="1">
        <f t="shared" si="0"/>
        <v>0</v>
      </c>
      <c r="D9" s="1">
        <v>5</v>
      </c>
      <c r="E9" s="1" t="str">
        <f t="shared" si="1"/>
        <v>i</v>
      </c>
      <c r="F9" s="1">
        <f t="shared" si="2"/>
        <v>105</v>
      </c>
    </row>
    <row r="10" spans="2:6" x14ac:dyDescent="0.25">
      <c r="C10" s="1">
        <f t="shared" si="0"/>
        <v>0</v>
      </c>
      <c r="D10" s="1">
        <v>6</v>
      </c>
      <c r="E10" s="1" t="str">
        <f t="shared" si="1"/>
        <v>n</v>
      </c>
      <c r="F10" s="1">
        <f t="shared" si="2"/>
        <v>110</v>
      </c>
    </row>
    <row r="11" spans="2:6" x14ac:dyDescent="0.25">
      <c r="C11" s="1">
        <f t="shared" si="0"/>
        <v>0</v>
      </c>
      <c r="D11" s="1">
        <v>7</v>
      </c>
      <c r="E11" s="1" t="str">
        <f t="shared" si="1"/>
        <v>a</v>
      </c>
      <c r="F11" s="1">
        <f t="shared" si="2"/>
        <v>97</v>
      </c>
    </row>
    <row r="12" spans="2:6" x14ac:dyDescent="0.25">
      <c r="C12" s="1">
        <f t="shared" si="0"/>
        <v>0</v>
      </c>
      <c r="D12" s="1">
        <v>8</v>
      </c>
      <c r="E12" s="1" t="str">
        <f t="shared" si="1"/>
        <v>l</v>
      </c>
      <c r="F12" s="1">
        <f t="shared" si="2"/>
        <v>108</v>
      </c>
    </row>
    <row r="13" spans="2:6" x14ac:dyDescent="0.25">
      <c r="C13" s="1">
        <f t="shared" si="0"/>
        <v>0</v>
      </c>
      <c r="D13" s="1">
        <v>9</v>
      </c>
      <c r="E13" s="1" t="str">
        <f t="shared" si="1"/>
        <v xml:space="preserve">
</v>
      </c>
      <c r="F13" s="1">
        <f t="shared" si="2"/>
        <v>10</v>
      </c>
    </row>
    <row r="14" spans="2:6" x14ac:dyDescent="0.25">
      <c r="C14" s="1">
        <f t="shared" si="0"/>
        <v>0</v>
      </c>
      <c r="D14" s="1">
        <v>10</v>
      </c>
      <c r="E14" s="1" t="str">
        <f t="shared" si="1"/>
        <v xml:space="preserve"> </v>
      </c>
      <c r="F14" s="1">
        <f t="shared" si="2"/>
        <v>32</v>
      </c>
    </row>
    <row r="15" spans="2:6" x14ac:dyDescent="0.25">
      <c r="C15" s="1">
        <f t="shared" si="0"/>
        <v>0</v>
      </c>
      <c r="D15" s="1">
        <v>11</v>
      </c>
      <c r="E15" s="1" t="str">
        <f t="shared" si="1"/>
        <v>(</v>
      </c>
      <c r="F15" s="1">
        <f t="shared" si="2"/>
        <v>40</v>
      </c>
    </row>
    <row r="16" spans="2:6" x14ac:dyDescent="0.25">
      <c r="C16" s="1">
        <f t="shared" si="0"/>
        <v>0</v>
      </c>
      <c r="D16" s="1">
        <v>12</v>
      </c>
      <c r="E16" s="1" t="str">
        <f t="shared" si="1"/>
        <v>A</v>
      </c>
      <c r="F16" s="1">
        <f t="shared" si="2"/>
        <v>65</v>
      </c>
    </row>
    <row r="17" spans="3:6" x14ac:dyDescent="0.25">
      <c r="C17" s="1">
        <f t="shared" si="0"/>
        <v>0</v>
      </c>
      <c r="D17" s="1">
        <v>13</v>
      </c>
      <c r="E17" s="1" t="str">
        <f t="shared" si="1"/>
        <v>t</v>
      </c>
      <c r="F17" s="1">
        <f t="shared" si="2"/>
        <v>116</v>
      </c>
    </row>
    <row r="18" spans="3:6" x14ac:dyDescent="0.25">
      <c r="C18" s="1">
        <f t="shared" si="0"/>
        <v>0</v>
      </c>
      <c r="D18" s="1">
        <v>14</v>
      </c>
      <c r="E18" s="1" t="str">
        <f t="shared" si="1"/>
        <v xml:space="preserve"> </v>
      </c>
      <c r="F18" s="1">
        <f t="shared" si="2"/>
        <v>32</v>
      </c>
    </row>
    <row r="19" spans="3:6" x14ac:dyDescent="0.25">
      <c r="C19" s="1">
        <f t="shared" si="0"/>
        <v>0</v>
      </c>
      <c r="D19" s="1">
        <v>15</v>
      </c>
      <c r="E19" s="1" t="str">
        <f t="shared" si="1"/>
        <v>J</v>
      </c>
      <c r="F19" s="1">
        <f t="shared" si="2"/>
        <v>74</v>
      </c>
    </row>
    <row r="20" spans="3:6" x14ac:dyDescent="0.25">
      <c r="C20" s="1">
        <f t="shared" si="0"/>
        <v>0</v>
      </c>
      <c r="D20" s="1">
        <v>16</v>
      </c>
      <c r="E20" s="1" t="str">
        <f t="shared" si="1"/>
        <v>o</v>
      </c>
      <c r="F20" s="1">
        <f t="shared" si="2"/>
        <v>111</v>
      </c>
    </row>
    <row r="21" spans="3:6" x14ac:dyDescent="0.25">
      <c r="C21" s="1">
        <f t="shared" si="0"/>
        <v>0</v>
      </c>
      <c r="D21" s="1">
        <v>17</v>
      </c>
      <c r="E21" s="1" t="str">
        <f t="shared" si="1"/>
        <v>b</v>
      </c>
      <c r="F21" s="1">
        <f t="shared" si="2"/>
        <v>98</v>
      </c>
    </row>
    <row r="22" spans="3:6" x14ac:dyDescent="0.25">
      <c r="C22" s="1">
        <f t="shared" si="0"/>
        <v>0</v>
      </c>
      <c r="D22" s="1">
        <v>18</v>
      </c>
      <c r="E22" s="1" t="str">
        <f t="shared" si="1"/>
        <v xml:space="preserve"> </v>
      </c>
      <c r="F22" s="1">
        <f t="shared" si="2"/>
        <v>32</v>
      </c>
    </row>
    <row r="23" spans="3:6" x14ac:dyDescent="0.25">
      <c r="C23" s="1">
        <f t="shared" si="0"/>
        <v>0</v>
      </c>
      <c r="D23" s="1">
        <v>19</v>
      </c>
      <c r="E23" s="1" t="str">
        <f t="shared" si="1"/>
        <v>S</v>
      </c>
      <c r="F23" s="1">
        <f t="shared" si="2"/>
        <v>83</v>
      </c>
    </row>
    <row r="24" spans="3:6" x14ac:dyDescent="0.25">
      <c r="C24" s="1">
        <f t="shared" si="0"/>
        <v>0</v>
      </c>
      <c r="D24" s="1">
        <v>20</v>
      </c>
      <c r="E24" s="1" t="str">
        <f t="shared" si="1"/>
        <v>t</v>
      </c>
      <c r="F24" s="1">
        <f t="shared" si="2"/>
        <v>116</v>
      </c>
    </row>
    <row r="25" spans="3:6" x14ac:dyDescent="0.25">
      <c r="C25" s="1">
        <f t="shared" si="0"/>
        <v>0</v>
      </c>
      <c r="D25" s="1">
        <v>21</v>
      </c>
      <c r="E25" s="1" t="str">
        <f t="shared" si="1"/>
        <v>a</v>
      </c>
      <c r="F25" s="1">
        <f t="shared" si="2"/>
        <v>97</v>
      </c>
    </row>
    <row r="26" spans="3:6" x14ac:dyDescent="0.25">
      <c r="C26" s="1">
        <f t="shared" si="0"/>
        <v>0</v>
      </c>
      <c r="D26" s="1">
        <v>22</v>
      </c>
      <c r="E26" s="1" t="str">
        <f t="shared" si="1"/>
        <v>r</v>
      </c>
      <c r="F26" s="1">
        <f t="shared" si="2"/>
        <v>114</v>
      </c>
    </row>
    <row r="27" spans="3:6" x14ac:dyDescent="0.25">
      <c r="C27" s="1">
        <f t="shared" si="0"/>
        <v>0</v>
      </c>
      <c r="D27" s="1">
        <v>23</v>
      </c>
      <c r="E27" s="1" t="str">
        <f t="shared" si="1"/>
        <v>t</v>
      </c>
      <c r="F27" s="1">
        <f t="shared" si="2"/>
        <v>116</v>
      </c>
    </row>
    <row r="28" spans="3:6" x14ac:dyDescent="0.25">
      <c r="C28" s="1">
        <f t="shared" si="0"/>
        <v>0</v>
      </c>
      <c r="D28" s="1">
        <v>24</v>
      </c>
      <c r="E28" s="1" t="str">
        <f t="shared" si="1"/>
        <v>)</v>
      </c>
      <c r="F28" s="1">
        <f t="shared" si="2"/>
        <v>41</v>
      </c>
    </row>
    <row r="29" spans="3:6" x14ac:dyDescent="0.25">
      <c r="C29" s="1">
        <f t="shared" si="0"/>
        <v>0</v>
      </c>
      <c r="D29" s="1">
        <v>25</v>
      </c>
      <c r="E29" s="1" t="s">
        <v>60</v>
      </c>
      <c r="F29" s="1">
        <f t="shared" si="2"/>
        <v>32</v>
      </c>
    </row>
    <row r="30" spans="3:6" x14ac:dyDescent="0.25">
      <c r="C30" s="1">
        <f t="shared" si="0"/>
        <v>0</v>
      </c>
      <c r="D30" s="1">
        <v>26</v>
      </c>
      <c r="E30" s="1" t="s">
        <v>60</v>
      </c>
      <c r="F30" s="1">
        <f t="shared" si="2"/>
        <v>32</v>
      </c>
    </row>
    <row r="31" spans="3:6" x14ac:dyDescent="0.25">
      <c r="C31" s="1">
        <f t="shared" si="0"/>
        <v>0</v>
      </c>
      <c r="E31" s="1"/>
    </row>
    <row r="32" spans="3:6" x14ac:dyDescent="0.25">
      <c r="C32" s="1">
        <f t="shared" si="0"/>
        <v>0</v>
      </c>
    </row>
    <row r="33" spans="2:3" x14ac:dyDescent="0.25">
      <c r="C33" s="1">
        <f t="shared" si="0"/>
        <v>0</v>
      </c>
    </row>
    <row r="34" spans="2:3" x14ac:dyDescent="0.25">
      <c r="B34" s="1" t="s">
        <v>61</v>
      </c>
      <c r="C34" s="1">
        <f t="shared" si="0"/>
        <v>31</v>
      </c>
    </row>
  </sheetData>
  <mergeCells count="1">
    <mergeCell ref="B3:C3"/>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76"/>
  <sheetViews>
    <sheetView workbookViewId="0">
      <selection activeCell="B24" sqref="B24"/>
    </sheetView>
  </sheetViews>
  <sheetFormatPr defaultRowHeight="15" x14ac:dyDescent="0.25"/>
  <cols>
    <col min="1" max="1" width="14.42578125" style="1" bestFit="1" customWidth="1"/>
    <col min="2" max="2" width="41.85546875" bestFit="1" customWidth="1"/>
    <col min="3" max="3" width="53.5703125" bestFit="1" customWidth="1"/>
  </cols>
  <sheetData>
    <row r="1" spans="1:4" x14ac:dyDescent="0.25">
      <c r="A1" s="59" t="s">
        <v>97</v>
      </c>
      <c r="B1" s="59" t="s">
        <v>98</v>
      </c>
      <c r="C1" s="59" t="s">
        <v>99</v>
      </c>
    </row>
    <row r="2" spans="1:4" s="60" customFormat="1" x14ac:dyDescent="0.25">
      <c r="A2" s="60" t="s">
        <v>101</v>
      </c>
      <c r="B2" s="60" t="s">
        <v>102</v>
      </c>
      <c r="C2" s="60" t="s">
        <v>103</v>
      </c>
    </row>
    <row r="3" spans="1:4" x14ac:dyDescent="0.25">
      <c r="A3" s="1" t="s">
        <v>74</v>
      </c>
      <c r="B3" t="s">
        <v>75</v>
      </c>
      <c r="C3" t="s">
        <v>73</v>
      </c>
    </row>
    <row r="4" spans="1:4" x14ac:dyDescent="0.25">
      <c r="A4" s="1" t="s">
        <v>74</v>
      </c>
      <c r="B4" t="s">
        <v>76</v>
      </c>
      <c r="C4" s="1" t="s">
        <v>73</v>
      </c>
    </row>
    <row r="5" spans="1:4" x14ac:dyDescent="0.25">
      <c r="A5" s="1" t="s">
        <v>74</v>
      </c>
      <c r="B5" t="s">
        <v>77</v>
      </c>
      <c r="C5" s="1" t="s">
        <v>73</v>
      </c>
    </row>
    <row r="6" spans="1:4" x14ac:dyDescent="0.25">
      <c r="A6" s="1" t="s">
        <v>74</v>
      </c>
      <c r="B6" t="s">
        <v>78</v>
      </c>
      <c r="C6" s="1" t="s">
        <v>73</v>
      </c>
    </row>
    <row r="7" spans="1:4" x14ac:dyDescent="0.25">
      <c r="A7" s="1" t="s">
        <v>74</v>
      </c>
      <c r="B7" t="s">
        <v>79</v>
      </c>
      <c r="C7" s="1" t="s">
        <v>73</v>
      </c>
    </row>
    <row r="8" spans="1:4" x14ac:dyDescent="0.25">
      <c r="A8" s="1" t="s">
        <v>74</v>
      </c>
      <c r="B8" t="s">
        <v>80</v>
      </c>
      <c r="C8" s="1" t="s">
        <v>73</v>
      </c>
    </row>
    <row r="9" spans="1:4" x14ac:dyDescent="0.25">
      <c r="A9" s="1" t="s">
        <v>74</v>
      </c>
      <c r="B9" t="s">
        <v>81</v>
      </c>
      <c r="C9" s="1" t="s">
        <v>73</v>
      </c>
    </row>
    <row r="10" spans="1:4" x14ac:dyDescent="0.25">
      <c r="A10" s="1" t="s">
        <v>74</v>
      </c>
      <c r="B10" t="s">
        <v>82</v>
      </c>
      <c r="C10" s="1" t="s">
        <v>73</v>
      </c>
    </row>
    <row r="11" spans="1:4" x14ac:dyDescent="0.25">
      <c r="A11" s="1" t="s">
        <v>74</v>
      </c>
      <c r="B11" t="s">
        <v>83</v>
      </c>
      <c r="C11" s="1" t="s">
        <v>73</v>
      </c>
    </row>
    <row r="12" spans="1:4" x14ac:dyDescent="0.25">
      <c r="A12" s="1" t="s">
        <v>74</v>
      </c>
      <c r="B12" t="s">
        <v>84</v>
      </c>
      <c r="C12" s="1" t="s">
        <v>73</v>
      </c>
      <c r="D12" s="58"/>
    </row>
    <row r="13" spans="1:4" x14ac:dyDescent="0.25">
      <c r="A13" s="1" t="s">
        <v>74</v>
      </c>
      <c r="B13" t="s">
        <v>85</v>
      </c>
      <c r="C13" s="57" t="s">
        <v>73</v>
      </c>
      <c r="D13" s="58"/>
    </row>
    <row r="14" spans="1:4" x14ac:dyDescent="0.25">
      <c r="A14" s="1" t="s">
        <v>86</v>
      </c>
      <c r="B14" t="s">
        <v>87</v>
      </c>
      <c r="C14" s="1" t="s">
        <v>73</v>
      </c>
      <c r="D14" s="58"/>
    </row>
    <row r="15" spans="1:4" x14ac:dyDescent="0.25">
      <c r="A15" s="1" t="s">
        <v>86</v>
      </c>
      <c r="B15" t="s">
        <v>88</v>
      </c>
      <c r="C15" s="1" t="s">
        <v>73</v>
      </c>
      <c r="D15" s="58"/>
    </row>
    <row r="16" spans="1:4" x14ac:dyDescent="0.25">
      <c r="A16" s="1" t="s">
        <v>86</v>
      </c>
      <c r="B16" t="s">
        <v>89</v>
      </c>
      <c r="C16" s="1" t="s">
        <v>73</v>
      </c>
      <c r="D16" s="58"/>
    </row>
    <row r="17" spans="1:4" x14ac:dyDescent="0.25">
      <c r="A17" s="1" t="s">
        <v>86</v>
      </c>
      <c r="B17" t="s">
        <v>90</v>
      </c>
      <c r="C17" s="1" t="s">
        <v>73</v>
      </c>
      <c r="D17" s="58"/>
    </row>
    <row r="18" spans="1:4" x14ac:dyDescent="0.25">
      <c r="A18" s="1" t="s">
        <v>86</v>
      </c>
      <c r="B18" t="s">
        <v>91</v>
      </c>
      <c r="C18" s="58" t="s">
        <v>73</v>
      </c>
      <c r="D18" s="58"/>
    </row>
    <row r="19" spans="1:4" x14ac:dyDescent="0.25">
      <c r="A19" s="1" t="s">
        <v>92</v>
      </c>
      <c r="B19" s="1" t="s">
        <v>91</v>
      </c>
      <c r="C19" s="58" t="s">
        <v>73</v>
      </c>
    </row>
    <row r="20" spans="1:4" x14ac:dyDescent="0.25">
      <c r="A20" s="1" t="s">
        <v>92</v>
      </c>
      <c r="B20" t="s">
        <v>94</v>
      </c>
      <c r="C20" s="58" t="s">
        <v>73</v>
      </c>
    </row>
    <row r="21" spans="1:4" x14ac:dyDescent="0.25">
      <c r="A21" s="1" t="s">
        <v>92</v>
      </c>
      <c r="B21" t="s">
        <v>93</v>
      </c>
      <c r="C21" s="58" t="s">
        <v>73</v>
      </c>
    </row>
    <row r="22" spans="1:4" x14ac:dyDescent="0.25">
      <c r="A22" s="1" t="s">
        <v>92</v>
      </c>
      <c r="B22" t="s">
        <v>95</v>
      </c>
      <c r="C22" s="58" t="s">
        <v>73</v>
      </c>
    </row>
    <row r="23" spans="1:4" x14ac:dyDescent="0.25">
      <c r="A23" s="1" t="s">
        <v>92</v>
      </c>
      <c r="B23" t="s">
        <v>96</v>
      </c>
      <c r="C23" s="58" t="s">
        <v>73</v>
      </c>
    </row>
    <row r="24" spans="1:4" x14ac:dyDescent="0.25">
      <c r="C24" s="58"/>
    </row>
    <row r="25" spans="1:4" x14ac:dyDescent="0.25">
      <c r="C25" s="58"/>
    </row>
    <row r="26" spans="1:4" x14ac:dyDescent="0.25">
      <c r="C26" s="58"/>
    </row>
    <row r="27" spans="1:4" x14ac:dyDescent="0.25">
      <c r="C27" s="58"/>
    </row>
    <row r="28" spans="1:4" x14ac:dyDescent="0.25">
      <c r="C28" s="58"/>
    </row>
    <row r="29" spans="1:4" x14ac:dyDescent="0.25">
      <c r="C29" s="58"/>
    </row>
    <row r="30" spans="1:4" x14ac:dyDescent="0.25">
      <c r="C30" s="58"/>
    </row>
    <row r="31" spans="1:4" x14ac:dyDescent="0.25">
      <c r="C31" s="58"/>
    </row>
    <row r="32" spans="1:4" x14ac:dyDescent="0.25">
      <c r="C32" s="58"/>
    </row>
    <row r="33" spans="3:3" x14ac:dyDescent="0.25">
      <c r="C33" s="58"/>
    </row>
    <row r="34" spans="3:3" x14ac:dyDescent="0.25">
      <c r="C34" s="58"/>
    </row>
    <row r="35" spans="3:3" x14ac:dyDescent="0.25">
      <c r="C35" s="58"/>
    </row>
    <row r="36" spans="3:3" x14ac:dyDescent="0.25">
      <c r="C36" s="58"/>
    </row>
    <row r="37" spans="3:3" x14ac:dyDescent="0.25">
      <c r="C37" s="58"/>
    </row>
    <row r="38" spans="3:3" x14ac:dyDescent="0.25">
      <c r="C38" s="58"/>
    </row>
    <row r="39" spans="3:3" x14ac:dyDescent="0.25">
      <c r="C39" s="58"/>
    </row>
    <row r="40" spans="3:3" x14ac:dyDescent="0.25">
      <c r="C40" s="58"/>
    </row>
    <row r="41" spans="3:3" x14ac:dyDescent="0.25">
      <c r="C41" s="58"/>
    </row>
    <row r="42" spans="3:3" x14ac:dyDescent="0.25">
      <c r="C42" s="58"/>
    </row>
    <row r="43" spans="3:3" x14ac:dyDescent="0.25">
      <c r="C43" s="58"/>
    </row>
    <row r="44" spans="3:3" x14ac:dyDescent="0.25">
      <c r="C44" s="58"/>
    </row>
    <row r="45" spans="3:3" x14ac:dyDescent="0.25">
      <c r="C45" s="58"/>
    </row>
    <row r="46" spans="3:3" x14ac:dyDescent="0.25">
      <c r="C46" s="58"/>
    </row>
    <row r="47" spans="3:3" x14ac:dyDescent="0.25">
      <c r="C47" s="58"/>
    </row>
    <row r="48" spans="3:3" x14ac:dyDescent="0.25">
      <c r="C48" s="58"/>
    </row>
    <row r="49" spans="3:3" x14ac:dyDescent="0.25">
      <c r="C49" s="58"/>
    </row>
    <row r="50" spans="3:3" x14ac:dyDescent="0.25">
      <c r="C50" s="58"/>
    </row>
    <row r="51" spans="3:3" x14ac:dyDescent="0.25">
      <c r="C51" s="58"/>
    </row>
    <row r="52" spans="3:3" x14ac:dyDescent="0.25">
      <c r="C52" s="58"/>
    </row>
    <row r="53" spans="3:3" x14ac:dyDescent="0.25">
      <c r="C53" s="58"/>
    </row>
    <row r="54" spans="3:3" x14ac:dyDescent="0.25">
      <c r="C54" s="58"/>
    </row>
    <row r="55" spans="3:3" x14ac:dyDescent="0.25">
      <c r="C55" s="58"/>
    </row>
    <row r="56" spans="3:3" x14ac:dyDescent="0.25">
      <c r="C56" s="58"/>
    </row>
    <row r="57" spans="3:3" x14ac:dyDescent="0.25">
      <c r="C57" s="58"/>
    </row>
    <row r="58" spans="3:3" x14ac:dyDescent="0.25">
      <c r="C58" s="58"/>
    </row>
    <row r="59" spans="3:3" x14ac:dyDescent="0.25">
      <c r="C59" s="58"/>
    </row>
    <row r="60" spans="3:3" x14ac:dyDescent="0.25">
      <c r="C60" s="58"/>
    </row>
    <row r="61" spans="3:3" x14ac:dyDescent="0.25">
      <c r="C61" s="58"/>
    </row>
    <row r="62" spans="3:3" x14ac:dyDescent="0.25">
      <c r="C62" s="58"/>
    </row>
    <row r="63" spans="3:3" x14ac:dyDescent="0.25">
      <c r="C63" s="58"/>
    </row>
    <row r="64" spans="3:3" x14ac:dyDescent="0.25">
      <c r="C64" s="58"/>
    </row>
    <row r="65" spans="3:3" x14ac:dyDescent="0.25">
      <c r="C65" s="58"/>
    </row>
    <row r="66" spans="3:3" x14ac:dyDescent="0.25">
      <c r="C66" s="58"/>
    </row>
    <row r="67" spans="3:3" x14ac:dyDescent="0.25">
      <c r="C67" s="58"/>
    </row>
    <row r="68" spans="3:3" x14ac:dyDescent="0.25">
      <c r="C68" s="58"/>
    </row>
    <row r="69" spans="3:3" x14ac:dyDescent="0.25">
      <c r="C69" s="58"/>
    </row>
    <row r="70" spans="3:3" x14ac:dyDescent="0.25">
      <c r="C70" s="58"/>
    </row>
    <row r="71" spans="3:3" x14ac:dyDescent="0.25">
      <c r="C71" s="58"/>
    </row>
    <row r="72" spans="3:3" x14ac:dyDescent="0.25">
      <c r="C72" s="58"/>
    </row>
    <row r="73" spans="3:3" x14ac:dyDescent="0.25">
      <c r="C73" s="58"/>
    </row>
    <row r="74" spans="3:3" x14ac:dyDescent="0.25">
      <c r="C74" s="58"/>
    </row>
    <row r="75" spans="3:3" x14ac:dyDescent="0.25">
      <c r="C75" s="58"/>
    </row>
    <row r="76" spans="3:3" x14ac:dyDescent="0.25">
      <c r="C76" s="58"/>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2"/>
  <sheetViews>
    <sheetView workbookViewId="0"/>
  </sheetViews>
  <sheetFormatPr defaultRowHeight="15" x14ac:dyDescent="0.25"/>
  <cols>
    <col min="1" max="5" width="200.7109375" customWidth="1"/>
  </cols>
  <sheetData>
    <row r="1" spans="1:5" x14ac:dyDescent="0.25">
      <c r="A1" s="109" t="s">
        <v>162</v>
      </c>
      <c r="B1" s="110" t="s">
        <v>162</v>
      </c>
      <c r="C1" s="111" t="s">
        <v>162</v>
      </c>
      <c r="D1" s="112" t="s">
        <v>162</v>
      </c>
      <c r="E1" s="118" t="s">
        <v>162</v>
      </c>
    </row>
    <row r="2" spans="1:5" x14ac:dyDescent="0.25">
      <c r="A2" t="s">
        <v>163</v>
      </c>
      <c r="B2" t="s">
        <v>164</v>
      </c>
      <c r="C2" t="s">
        <v>165</v>
      </c>
      <c r="D2" t="s">
        <v>166</v>
      </c>
      <c r="E2" t="s">
        <v>167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16"/>
  <sheetViews>
    <sheetView workbookViewId="0">
      <selection activeCell="B37" sqref="B37"/>
    </sheetView>
  </sheetViews>
  <sheetFormatPr defaultRowHeight="15" x14ac:dyDescent="0.25"/>
  <cols>
    <col min="1" max="1" width="34.7109375" customWidth="1"/>
    <col min="2" max="2" width="74.7109375" bestFit="1" customWidth="1"/>
    <col min="3" max="3" width="44.85546875" customWidth="1"/>
  </cols>
  <sheetData>
    <row r="1" spans="1:3" x14ac:dyDescent="0.25">
      <c r="A1" t="s">
        <v>181</v>
      </c>
      <c r="B1" t="s">
        <v>182</v>
      </c>
      <c r="C1" t="s">
        <v>183</v>
      </c>
    </row>
    <row r="2" spans="1:3" x14ac:dyDescent="0.25">
      <c r="A2" t="s">
        <v>184</v>
      </c>
      <c r="B2" t="s">
        <v>185</v>
      </c>
      <c r="C2" t="s">
        <v>186</v>
      </c>
    </row>
    <row r="3" spans="1:3" x14ac:dyDescent="0.25">
      <c r="A3" t="s">
        <v>187</v>
      </c>
      <c r="B3" t="s">
        <v>188</v>
      </c>
      <c r="C3" t="s">
        <v>189</v>
      </c>
    </row>
    <row r="4" spans="1:3" x14ac:dyDescent="0.25">
      <c r="A4" t="s">
        <v>190</v>
      </c>
      <c r="B4" t="s">
        <v>191</v>
      </c>
      <c r="C4" t="s">
        <v>192</v>
      </c>
    </row>
    <row r="5" spans="1:3" x14ac:dyDescent="0.25">
      <c r="A5" t="s">
        <v>193</v>
      </c>
      <c r="B5" t="s">
        <v>194</v>
      </c>
      <c r="C5" t="s">
        <v>195</v>
      </c>
    </row>
    <row r="6" spans="1:3" x14ac:dyDescent="0.25">
      <c r="A6" t="s">
        <v>196</v>
      </c>
      <c r="B6" t="s">
        <v>197</v>
      </c>
      <c r="C6" t="s">
        <v>198</v>
      </c>
    </row>
    <row r="7" spans="1:3" x14ac:dyDescent="0.25">
      <c r="A7" t="s">
        <v>208</v>
      </c>
      <c r="B7" t="s">
        <v>209</v>
      </c>
      <c r="C7" t="s">
        <v>210</v>
      </c>
    </row>
    <row r="8" spans="1:3" x14ac:dyDescent="0.25">
      <c r="A8" t="s">
        <v>199</v>
      </c>
      <c r="B8" t="s">
        <v>200</v>
      </c>
      <c r="C8" t="s">
        <v>201</v>
      </c>
    </row>
    <row r="9" spans="1:3" x14ac:dyDescent="0.25">
      <c r="A9" t="s">
        <v>202</v>
      </c>
      <c r="B9" t="s">
        <v>203</v>
      </c>
      <c r="C9" t="s">
        <v>204</v>
      </c>
    </row>
    <row r="10" spans="1:3" x14ac:dyDescent="0.25">
      <c r="A10" t="s">
        <v>205</v>
      </c>
      <c r="B10" t="s">
        <v>206</v>
      </c>
      <c r="C10" t="s">
        <v>207</v>
      </c>
    </row>
    <row r="11" spans="1:3" x14ac:dyDescent="0.25">
      <c r="A11" t="s">
        <v>211</v>
      </c>
      <c r="B11" t="s">
        <v>212</v>
      </c>
      <c r="C11" t="s">
        <v>213</v>
      </c>
    </row>
    <row r="12" spans="1:3" x14ac:dyDescent="0.25">
      <c r="A12" t="s">
        <v>214</v>
      </c>
      <c r="B12" t="s">
        <v>215</v>
      </c>
      <c r="C12" t="s">
        <v>216</v>
      </c>
    </row>
    <row r="13" spans="1:3" x14ac:dyDescent="0.25">
      <c r="A13" t="s">
        <v>217</v>
      </c>
      <c r="B13" t="s">
        <v>348</v>
      </c>
      <c r="C13" t="s">
        <v>218</v>
      </c>
    </row>
    <row r="14" spans="1:3" x14ac:dyDescent="0.25">
      <c r="A14" t="s">
        <v>219</v>
      </c>
      <c r="B14" t="s">
        <v>220</v>
      </c>
      <c r="C14" t="s">
        <v>221</v>
      </c>
    </row>
    <row r="15" spans="1:3" x14ac:dyDescent="0.25">
      <c r="A15" t="s">
        <v>222</v>
      </c>
      <c r="B15" t="s">
        <v>223</v>
      </c>
      <c r="C15" t="s">
        <v>224</v>
      </c>
    </row>
    <row r="16" spans="1:3" x14ac:dyDescent="0.25">
      <c r="A16" t="s">
        <v>225</v>
      </c>
      <c r="B16" t="s">
        <v>349</v>
      </c>
      <c r="C16" t="s">
        <v>350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D11"/>
  <sheetViews>
    <sheetView workbookViewId="0"/>
  </sheetViews>
  <sheetFormatPr defaultRowHeight="15" x14ac:dyDescent="0.25"/>
  <sheetData>
    <row r="1" spans="1:4" x14ac:dyDescent="0.25">
      <c r="A1" t="s">
        <v>396</v>
      </c>
      <c r="B1" t="s">
        <v>161</v>
      </c>
      <c r="C1">
        <v>0</v>
      </c>
      <c r="D1" t="s">
        <v>20</v>
      </c>
    </row>
    <row r="2" spans="1:4" x14ac:dyDescent="0.25">
      <c r="A2" t="s">
        <v>397</v>
      </c>
      <c r="B2" t="s">
        <v>387</v>
      </c>
      <c r="C2">
        <v>2</v>
      </c>
    </row>
    <row r="3" spans="1:4" x14ac:dyDescent="0.25">
      <c r="A3" t="s">
        <v>398</v>
      </c>
      <c r="B3" t="s">
        <v>373</v>
      </c>
      <c r="C3">
        <v>2</v>
      </c>
      <c r="D3" t="s">
        <v>20</v>
      </c>
    </row>
    <row r="4" spans="1:4" x14ac:dyDescent="0.25">
      <c r="A4" t="s">
        <v>399</v>
      </c>
      <c r="B4" t="s">
        <v>391</v>
      </c>
      <c r="C4">
        <v>3</v>
      </c>
    </row>
    <row r="5" spans="1:4" x14ac:dyDescent="0.25">
      <c r="A5" t="s">
        <v>400</v>
      </c>
      <c r="B5" t="s">
        <v>374</v>
      </c>
      <c r="C5">
        <v>0</v>
      </c>
    </row>
    <row r="6" spans="1:4" x14ac:dyDescent="0.25">
      <c r="A6" t="s">
        <v>401</v>
      </c>
      <c r="B6" t="s">
        <v>375</v>
      </c>
      <c r="C6">
        <v>7</v>
      </c>
    </row>
    <row r="7" spans="1:4" x14ac:dyDescent="0.25">
      <c r="A7" t="s">
        <v>402</v>
      </c>
      <c r="B7" t="s">
        <v>388</v>
      </c>
      <c r="C7">
        <v>3</v>
      </c>
    </row>
    <row r="8" spans="1:4" x14ac:dyDescent="0.25">
      <c r="A8" t="s">
        <v>403</v>
      </c>
      <c r="B8" t="s">
        <v>389</v>
      </c>
      <c r="C8">
        <v>3</v>
      </c>
    </row>
    <row r="9" spans="1:4" x14ac:dyDescent="0.25">
      <c r="A9" t="s">
        <v>404</v>
      </c>
      <c r="B9" t="s">
        <v>390</v>
      </c>
      <c r="C9">
        <v>3</v>
      </c>
    </row>
    <row r="10" spans="1:4" x14ac:dyDescent="0.25">
      <c r="A10" t="s">
        <v>405</v>
      </c>
      <c r="B10" t="s">
        <v>376</v>
      </c>
      <c r="C10">
        <v>2</v>
      </c>
    </row>
    <row r="11" spans="1:4" x14ac:dyDescent="0.25">
      <c r="A11" t="s">
        <v>406</v>
      </c>
      <c r="B11" t="s">
        <v>377</v>
      </c>
      <c r="C11">
        <v>5</v>
      </c>
      <c r="D11" t="s">
        <v>20</v>
      </c>
    </row>
  </sheetData>
  <pageMargins left="0.7" right="0.7" top="0.75" bottom="0.75" header="0.3" footer="0.3"/>
</worksheet>
</file>

<file path=customUI/customUI14.xml><?xml version="1.0" encoding="utf-8"?>
<customUI xmlns="http://schemas.microsoft.com/office/2009/07/customui">
  <ribbon startFromScratch="false">
    <tabs>
      <tab id="customTab" label="AM RIBBON">
        <group id="amCustomGroup" label="AM DWG LIST">
          <button id="customButton" label="DWG:LIST" imageMso="AddInManager" size="large" onAction="RibbonForm"/>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20</vt:i4>
      </vt:variant>
    </vt:vector>
  </HeadingPairs>
  <TitlesOfParts>
    <vt:vector size="24" baseType="lpstr">
      <vt:lpstr>Master Drawing List</vt:lpstr>
      <vt:lpstr>EDE_test_data</vt:lpstr>
      <vt:lpstr>data</vt:lpstr>
      <vt:lpstr>TempSheet</vt:lpstr>
      <vt:lpstr>clientlist</vt:lpstr>
      <vt:lpstr>contact_email</vt:lpstr>
      <vt:lpstr>contact_name</vt:lpstr>
      <vt:lpstr>dwg_list</vt:lpstr>
      <vt:lpstr>dwgdelimiter</vt:lpstr>
      <vt:lpstr>'Contract List'!dwglist</vt:lpstr>
      <vt:lpstr>dwgnoprefix</vt:lpstr>
      <vt:lpstr>'Contract List'!Print_Area</vt:lpstr>
      <vt:lpstr>'Unified-Transmittal-Master'!Print_Area</vt:lpstr>
      <vt:lpstr>'Unified-Transmittal-Template'!Print_Area</vt:lpstr>
      <vt:lpstr>'zz-sub-dept-old-trans'!Print_Area</vt:lpstr>
      <vt:lpstr>'Unified-Transmittal-Master'!Print_Titles</vt:lpstr>
      <vt:lpstr>'Unified-Transmittal-Template'!Print_Titles</vt:lpstr>
      <vt:lpstr>'zz-relay-dept-old-trans'!Print_Titles</vt:lpstr>
      <vt:lpstr>'zz-sub-dept-old-trans'!Print_Titles</vt:lpstr>
      <vt:lpstr>project_client</vt:lpstr>
      <vt:lpstr>project_station</vt:lpstr>
      <vt:lpstr>project_title</vt:lpstr>
      <vt:lpstr>save_path</vt:lpstr>
      <vt:lpstr>shipping</vt:lpstr>
    </vt:vector>
  </TitlesOfParts>
  <Manager>MIKE JONES</Manager>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DRAWING LIST WORKBOOK</dc:title>
  <dc:creator>David D. Beavers;MIKE JONES</dc:creator>
  <cp:lastModifiedBy>Michael S. Jones</cp:lastModifiedBy>
  <cp:lastPrinted>2016-08-22T12:19:09Z</cp:lastPrinted>
  <dcterms:created xsi:type="dcterms:W3CDTF">2012-05-08T16:00:31Z</dcterms:created>
  <dcterms:modified xsi:type="dcterms:W3CDTF">2017-03-24T13:43:00Z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S Team System Data DO NOT EDIT_GUID">
    <vt:lpwstr>2ea57562-24ee-4e49-8f48-c81d4908139a</vt:lpwstr>
  </property>
  <property fmtid="{D5CDD505-2E9C-101B-9397-08002B2CF9AE}" pid="3" name="VS Team System Additional Data DO NOT EDIT0">
    <vt:lpwstr>RVpSRwEAAABVj91qwzAMRl8l+N51knb9CUlKoQwKozfueq/azmqI7WApoXv7ue3KGEIXEofzSfX25vpsMhFt8A0rZjnbtrWU/1dZgjw2bIy+QnU1DpA7q2LA0BFXwVWTxRF6pFHbUJEBh99IxlWh66wySCHCl2FtfcyS8gjO4ADK7LS2lFKg3wOB/KVeaQk/3/FTh7th6K2CO3vwSOCVOexZRg2TrNWXeVkW6zeuS73gi2W54lBsNhyWRapuvlE</vt:lpwstr>
  </property>
  <property fmtid="{D5CDD505-2E9C-101B-9397-08002B2CF9AE}" pid="4" name="VS Team System Additional Data DO NOT EDIT1">
    <vt:lpwstr>rVYvzn+2l+Iz9y3ElGiohwCnDtZmqdb7OBXUoTumX9zB6/QgXO+2st0jxOU7zWS4+wvMyaeKUnp0ButsjTxxTS9n+AA==</vt:lpwstr>
  </property>
  <property fmtid="{D5CDD505-2E9C-101B-9397-08002B2CF9AE}" pid="5" name="VS Team System Additional Data DO NOT EDIT">
    <vt:i4>2</vt:i4>
  </property>
  <property fmtid="{D5CDD505-2E9C-101B-9397-08002B2CF9AE}" pid="6" name="VS Team System Data DO NOT EDIT0">
    <vt:lpwstr>RVpSRwEAAAC1W9tS4zgQ/RVVHvYtwZdkCCyTqRCgJlXAUphhXvZF2Erw4kvKlplhvn4l+ar4LqofhppK3Cc6Uqv7dEu++Pbb99A7iWI3DL5O9Jk2+ba6sCz5I8QeCuKvkyQKzmP7lfg4nvquHYVxuKNTO/TP3904wV5ME8cNzynBfvwRU+Kfh7uda5OYhhHek8nq4hkxyEMU/kdseo99MkH068QqfmCyemIPvxDn4uRZfvhH5NaeFQ/d84c8N6Z</vt:lpwstr>
  </property>
  <property fmtid="{D5CDD505-2E9C-101B-9397-08002B2CF9AE}" pid="7" name="VS Team System Data DO NOT EDIT1">
    <vt:lpwstr>x+Q06yT7nPxEfsE2uMMVWNooKgPiFIH/oR+Rlv7F6pfRwfnKCfZtMHfJ+vtSW2gndxScO2eHEo3boeWxUbIbKkRY4FWKrHOHfq9Rw02C4DWKKA5tsr3Ir4+zFPtsZi6muG2fTueGQKV7OX6ZntrE0HbJYGGRXst+5xHOsYo7FZ7qmGWbO0I2vHZfiFy8d1uVkdcMWi5QjcOOtQwLq0o+2BxzxxXY+WQnk8puI7Kp873K3mD1bT9ZsE/p+GMweyb</vt:lpwstr>
  </property>
  <property fmtid="{D5CDD505-2E9C-101B-9397-08002B2CF9AE}" pid="8" name="VS Team System Data DO NOT EDIT2">
    <vt:lpwstr>tLfhHn8qM0FKN++jiQElmeyxwyN0aZ9cl9haMBxtEYztEh6Rhna9smB6rIMzdu5KmD8dQ/wZNtK9LF1OxhWtgXXJcgPJetHC0Rp7iDdvEwWj1THv0ZyOjP+ka/ecXBXtHrMttGp/sC5nRfhjrdDSHOC7bfZuvDwXNtzCPnLU4C+5VHzSgRoTTu4n3a4oMlHkoBUQ1RmowF2GQsPjMZFsUR3Qa7MPKxnFbqU7HonwoBh47xiomYmjCBiOH2OfmaU</vt:lpwstr>
  </property>
  <property fmtid="{D5CDD505-2E9C-101B-9397-08002B2CF9AE}" pid="9" name="VS Team System Data DO NOT EDIT3">
    <vt:lpwstr>sy0h3PjemQTJgFV2LA5BuIgqESRFhpmEwvkkWnzIXLDiKErMJVMJXowEVYgj1YFceglfU7bsn+PjEuKMPT6vPPJpV5nKmwJv6VdwQBG0rTLmYwB2/ndybyFQWlXMIARnu2iM48QCX1lTv9HXZcUAA3KhHn4HExtzgerzafNHSca+nn0p0ln+msTmwUEiksMiSyY5JwPlpyc7G1oY0/Ub2ES2Z3L2hIqBAJfUYwqGBJXDYyrprCwxOFlMKemvrLM</vt:lpwstr>
  </property>
  <property fmtid="{D5CDD505-2E9C-101B-9397-08002B2CF9AE}" pid="10" name="VS Team System Data DO NOT EDIT4">
    <vt:lpwstr>hzkIKlDKHK5rMFqGA/ft0S0lkXC7B0xfu9gtm9kV9qgAqBADojU88KwV92IedtZH+xCovu0obouCCMfdebm1Wi8My3wAw8LsZbGJCFYvUzPrhlwAVAx0VAIZoZ9h9Ma2gK8YG7g54vYNYWEBs0iL3kW6IrEduQdFHXhsXYkGMIQYbh+j+9ARTUCFFeKmqLAtyQBJj2mH8MiVLcH+Q9qEVdG3zBpVzQtKpzB76LR3Dz0Sj2/rWzd4U60jMwjEMZr</vt:lpwstr>
  </property>
  <property fmtid="{D5CDD505-2E9C-101B-9397-08002B2CF9AE}" pid="11" name="VS Team System Data DO NOT EDIT5">
    <vt:lpwstr>KyCnQavUu1pqFrK2jwIgbou3VEQ0gnTBgid7dWDluZ9bNGt4Ak3rGYKmX1b+icuJdVYX1EraoMC6j+Bwmis/7luy7y095OlsVZ81UqpbSSsFQEchDV6qp46aqyytdtnr2ZaPSwRpP+ojGU9Hj33gh20TKBWZqjqzm4lIHO5vSR5xNSVzdYM/3JelOCB1sGQCqIpRqEcaRO7w4zwZx7O4DVk2GKv6aGaPMWlo+sN6APrg3cJm4njO7YcnX2aoUKs</vt:lpwstr>
  </property>
  <property fmtid="{D5CDD505-2E9C-101B-9397-08002B2CF9AE}" pid="12" name="VS Team System Data DO NOT EDIT6">
    <vt:lpwstr>ISbY/bh2wIYBlCH50hyDvpawC3teWqphK9UzB6pypbLwwo+U3/+RWQSM1LQ9sVYixDQiVU5dgCSJD1l6DfGYnoM1pTAHgtQpPPOtjBlD74YKq+nqpJsr6czbkSTBvog7VBnbSilmsgXRd2bGhQlPtcmHtvLP72rWoLQVEmNa8j2GmUPuI0qlHzKC6mpHsa1nEK47nTXjGQHfSr9sKyawL1mmq6gEkoDLeP0vVvSqIAe58JrzlGay3PfMkEU6vm2</vt:lpwstr>
  </property>
  <property fmtid="{D5CDD505-2E9C-101B-9397-08002B2CF9AE}" pid="13" name="VS Team System Data DO NOT EDIT7">
    <vt:lpwstr>JtUa5u675/oaRb2zdUxUJ4UyErVsXA7Ra5ZjSwgWuiC6diO+wzNdLdxnKhkzNJOIgaWLMyxGvYyYZURieNn7HUTbNmguT0qAapHWUDhlAH3RZ/iKEqp4VYeZB133fgkg928MgffvOLnkQ84Yg+wkarcsDoylviBaVZzsGbl/CxKDirUSjuJFZgoNUeIUjlNKN5EzZNEw61AE6xNZQ5uU9XOyru34LCT8gxD4gomT83B8rTGNbvp/XnCVSCJNViH</vt:lpwstr>
  </property>
  <property fmtid="{D5CDD505-2E9C-101B-9397-08002B2CF9AE}" pid="14" name="VS Team System Data DO NOT EDIT8">
    <vt:lpwstr>wBzcIaixVjxPO6LccLJm8L6MAXTBukAfwlu8Q2GJdyhm17cEO2nltQ6c9N4i7yyqtGIFCvoL+4e/0TFSefEaRjEse6vLJ7zvJNVyabUwK1cSqA7pLUP42ZnidRZx7Fa/ycLrVzAl3nF+3ZxM0pJW7XZ5Wg0fpxGggqqjmpIvhKhxya6DHJOZwpCZ9pJR051HahNm0/TumZ9sKiMfR28KFGRbadOA6WZ9sG6utwVV0latJVjjaoBlaWNEHz+9yM0</vt:lpwstr>
  </property>
  <property fmtid="{D5CDD505-2E9C-101B-9397-08002B2CF9AE}" pid="15" name="VS Team System Data DO NOT EDIT9">
    <vt:lpwstr>KmWCvQLNiWKWmgfVbtMH9lvR4acvmfp/WaeIDlQK9hEAlhkQXLNRrY0O9UP5qB06SqUQPrMmijW2yXGL7zQv3Q96rqJ7VSe2IFAK1vmAB16fv6NQf0bX4Sy6Jx/bW7JH42A3Y//jdPxXCBQAqECS6YGFIG1UsPJJDFKrW88IYNVf1GlhO0Ub1YtLEyd/MUmlYCGNUWEsEwZoxHdfBu5Sm6hFFqjUbG71AbUKBPJjj3d12dumF9htRySNVS4kaWD</vt:lpwstr>
  </property>
  <property fmtid="{D5CDD505-2E9C-101B-9397-08002B2CF9AE}" pid="16" name="VS Team System Data DO NOT EDIT">
    <vt:i4>11</vt:i4>
  </property>
  <property fmtid="{D5CDD505-2E9C-101B-9397-08002B2CF9AE}" pid="17" name="WorkbookGuid">
    <vt:lpwstr>fa372c42-b5b6-4a16-ac13-1c49eecc7fd0</vt:lpwstr>
  </property>
  <property fmtid="{D5CDD505-2E9C-101B-9397-08002B2CF9AE}" pid="18" name="VS Team System Data DO NOT EDIT10">
    <vt:lpwstr>9GG/u+WvpeL3+VfcNCI4lcrOCqJQiSUCTOYH0ZbXBfphJjr3e7MOqWeS3BtWLJ+RX/LGv1Pw==</vt:lpwstr>
  </property>
</Properties>
</file>